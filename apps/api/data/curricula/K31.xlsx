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adao05-my.sharepoint.com/personal/hoadao051_hoapro_io/Documents/"/>
    </mc:Choice>
  </mc:AlternateContent>
  <xr:revisionPtr revIDLastSave="0" documentId="8_{20489EE0-936B-4014-879D-BB5F081C050C}" xr6:coauthVersionLast="47" xr6:coauthVersionMax="47" xr10:uidLastSave="{00000000-0000-0000-0000-000000000000}"/>
  <bookViews>
    <workbookView xWindow="-108" yWindow="-108" windowWidth="23256" windowHeight="12456" xr2:uid="{7CAF3B72-DFD9-48DF-B84A-0649A4295F33}"/>
  </bookViews>
  <sheets>
    <sheet name="CTĐT_CNTT_K31" sheetId="2" r:id="rId1"/>
  </sheets>
  <externalReferences>
    <externalReference r:id="rId2"/>
    <externalReference r:id="rId3"/>
    <externalReference r:id="rId4"/>
  </externalReferences>
  <definedNames>
    <definedName name="_xlnm._FilterDatabase" localSheetId="0" hidden="1">CTĐT_CNTT_K31!$A$9:$Y$111</definedName>
    <definedName name="aaa">#REF!</definedName>
    <definedName name="ChungChi" localSheetId="0">[3]ViTriLamViec!#REF!</definedName>
    <definedName name="ChungChi">[3]ViTriLamViec!#REF!</definedName>
    <definedName name="ChuyenNghanh" localSheetId="0">[3]DM_NganhDT!#REF!</definedName>
    <definedName name="ChuyenNghanh">[3]DM_NganhDT!#REF!</definedName>
    <definedName name="CoSoDaoTao" localSheetId="0">#REF!</definedName>
    <definedName name="CoSoDaoTao">#REF!</definedName>
    <definedName name="CoSoDaoTao_" localSheetId="0">#REF!</definedName>
    <definedName name="CoSoDaoTao_">#REF!</definedName>
    <definedName name="DanhMucPhong" localSheetId="0">#REF!</definedName>
    <definedName name="DanhMucPhong">#REF!</definedName>
    <definedName name="DanToc" localSheetId="0">[3]DanToc!#REF!</definedName>
    <definedName name="DanToc">[3]DanToc!#REF!</definedName>
    <definedName name="_xlnm.Print_Area" localSheetId="0">CTĐT_CNTT_K31!$A$1:$O$104</definedName>
    <definedName name="_xlnm.Print_Titles" localSheetId="0">CTĐT_CNTT_K31!#REF!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E11" i="2"/>
  <c r="E10" i="2" s="1"/>
  <c r="A12" i="2"/>
  <c r="A13" i="2"/>
  <c r="A14" i="2"/>
  <c r="A15" i="2"/>
  <c r="A16" i="2"/>
  <c r="E17" i="2"/>
  <c r="A18" i="2"/>
  <c r="A19" i="2"/>
  <c r="A20" i="2"/>
  <c r="A21" i="2"/>
  <c r="A22" i="2"/>
  <c r="E23" i="2"/>
  <c r="A24" i="2"/>
  <c r="A25" i="2"/>
  <c r="A26" i="2"/>
  <c r="A27" i="2"/>
  <c r="A28" i="2"/>
  <c r="A29" i="2"/>
  <c r="A30" i="2"/>
  <c r="E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E54" i="2"/>
  <c r="E63" i="2"/>
  <c r="E76" i="2"/>
  <c r="E75" i="2" s="1"/>
  <c r="A77" i="2"/>
  <c r="A78" i="2"/>
  <c r="A79" i="2"/>
  <c r="A80" i="2"/>
  <c r="A81" i="2"/>
  <c r="A82" i="2"/>
  <c r="E83" i="2"/>
  <c r="A84" i="2"/>
  <c r="A85" i="2"/>
  <c r="A86" i="2"/>
  <c r="A87" i="2"/>
  <c r="A88" i="2"/>
  <c r="A89" i="2"/>
  <c r="E90" i="2"/>
  <c r="A91" i="2"/>
  <c r="A92" i="2"/>
  <c r="A93" i="2"/>
  <c r="A94" i="2"/>
  <c r="A95" i="2"/>
  <c r="A96" i="2"/>
  <c r="A109" i="2"/>
  <c r="I109" i="2"/>
  <c r="A111" i="2"/>
  <c r="H111" i="2"/>
  <c r="U112" i="2"/>
  <c r="V112" i="2"/>
  <c r="W112" i="2" s="1"/>
  <c r="X112" i="2"/>
  <c r="U113" i="2"/>
  <c r="V113" i="2"/>
  <c r="W113" i="2" s="1"/>
  <c r="X113" i="2"/>
  <c r="E53" i="2" l="1"/>
  <c r="E8" i="2" s="1"/>
</calcChain>
</file>

<file path=xl/sharedStrings.xml><?xml version="1.0" encoding="utf-8"?>
<sst xmlns="http://schemas.openxmlformats.org/spreadsheetml/2006/main" count="821" uniqueCount="371">
  <si>
    <t>Học phần thay thế Đồ án tốt nghiệp</t>
  </si>
  <si>
    <t>Khóa luận/đồ án tốt nghiệp; hoặc học phần thay thế KL/ĐA TN</t>
  </si>
  <si>
    <t>Dựa theo quy định cụ thể của Khoa về Triển khai Học và làm ĐATN</t>
  </si>
  <si>
    <t>Không</t>
  </si>
  <si>
    <t>TC406</t>
  </si>
  <si>
    <t>Specialized Graduation Topic II</t>
  </si>
  <si>
    <t>Chuyên đề Tốt nghiệp 2</t>
  </si>
  <si>
    <t>71ITGR40303</t>
  </si>
  <si>
    <t>Specialized Graduation Topic I</t>
  </si>
  <si>
    <t>Chuyên đề Tốt nghiệp 1</t>
  </si>
  <si>
    <t>71ITGR40203</t>
  </si>
  <si>
    <t>Đổi tên môn --&gt; đổi mã</t>
  </si>
  <si>
    <t>Dựa theo quy định cụ thể của Khoa cho từng chuyên ngành</t>
  </si>
  <si>
    <t>Graduation Projects</t>
  </si>
  <si>
    <t>Đồ án Tốt nghiệp</t>
  </si>
  <si>
    <t>71ITGR40206</t>
  </si>
  <si>
    <t xml:space="preserve">Khối kiến thức: II.4.2.  Khóa luận/đồ án tốt nghiệp; hoặc học phần thay thế KL/ĐA TN </t>
  </si>
  <si>
    <t>Thực tập tốt nghiệp/Học kỳ doanh nghiệp</t>
  </si>
  <si>
    <t>[71ITSE30103] Kỹ thuật lập trình</t>
  </si>
  <si>
    <t>BB</t>
  </si>
  <si>
    <t xml:space="preserve">Internship Project </t>
  </si>
  <si>
    <t xml:space="preserve">Đồ án thực tập </t>
  </si>
  <si>
    <t>71ITIN40304</t>
  </si>
  <si>
    <t xml:space="preserve">Khối kiến thức: II.4.1. Thực tập tốt nghiệp (hoặc học kỳ doanh nghiệp) </t>
  </si>
  <si>
    <t>Bộ môn Quản trị Hệ thống thông tin</t>
  </si>
  <si>
    <t>200110704</t>
  </si>
  <si>
    <t>Bổ sung lại (các khóa trước có) và môn đk học trước</t>
  </si>
  <si>
    <t>Tự chọn Chuyên ngành</t>
  </si>
  <si>
    <t>Kiến thức chuyên ngành hoặc chuyên sâu</t>
  </si>
  <si>
    <t>[71ITBS10103]Nhập môn Công nghệ thông tin</t>
  </si>
  <si>
    <t>TC309 (9TC)</t>
  </si>
  <si>
    <t xml:space="preserve">E-Commerce </t>
  </si>
  <si>
    <t>Chuyên đề Thương Mại điện tử</t>
  </si>
  <si>
    <t>71ITIS30503</t>
  </si>
  <si>
    <t>Search Engine Optimization</t>
  </si>
  <si>
    <t>Chuyên đề Tối ưu hóa máy tìm kiếm</t>
  </si>
  <si>
    <t>71ITIS30603</t>
  </si>
  <si>
    <t>Bộ môn Kỹ Thuật Phầm Mềm</t>
  </si>
  <si>
    <t>200110703</t>
  </si>
  <si>
    <t>[71ITSE41203]Kiểm thử phần mềm</t>
  </si>
  <si>
    <t>Automation Testing</t>
  </si>
  <si>
    <t xml:space="preserve">Kiểm thử tự động </t>
  </si>
  <si>
    <t>71ITSE41603</t>
  </si>
  <si>
    <t>[71ITSE30403]Lập trình ứng dụng Java</t>
  </si>
  <si>
    <t>Advanced Java Programming</t>
  </si>
  <si>
    <t>Lập trình Java nâng cao</t>
  </si>
  <si>
    <t>71ITSE30803</t>
  </si>
  <si>
    <t>Bộ môn Khoa học dữ liệu</t>
  </si>
  <si>
    <t>200110701</t>
  </si>
  <si>
    <t>Introduction to Optimization</t>
  </si>
  <si>
    <t>Nhập môn tối ưu hóa</t>
  </si>
  <si>
    <t>71ITAI51403</t>
  </si>
  <si>
    <t>Bộ môn Mạng máy tính &amp; Internet vạn vật kết nối</t>
  </si>
  <si>
    <t>200110702</t>
  </si>
  <si>
    <t>Không  </t>
  </si>
  <si>
    <t>Programming for Embedded Systems and Internet of Things</t>
  </si>
  <si>
    <t>Lập trình Hệ thống nhúng và Mạng kết nối vạn vật</t>
  </si>
  <si>
    <t>71ITNW30403</t>
  </si>
  <si>
    <t>Advanced Python Programming</t>
  </si>
  <si>
    <t>Lập trình Python nâng cao</t>
  </si>
  <si>
    <t>71ITSE31003</t>
  </si>
  <si>
    <t>[71ITSE30603]Lập trình ứng dụng di động</t>
  </si>
  <si>
    <t>Advanced Mobile Programming</t>
  </si>
  <si>
    <t xml:space="preserve">Lập trình di động nâng cao </t>
  </si>
  <si>
    <t>71ITSE30703</t>
  </si>
  <si>
    <t>[71ITBS10203]Cơ sở lập trình</t>
  </si>
  <si>
    <t>Mobile Application Programming</t>
  </si>
  <si>
    <t xml:space="preserve">Lập trình ứng dụng di động </t>
  </si>
  <si>
    <t>71ITSE30603</t>
  </si>
  <si>
    <t>[71ITIS30103]Cơ sở dữ liệu</t>
  </si>
  <si>
    <t>Database Management System</t>
  </si>
  <si>
    <t xml:space="preserve">Hệ Quản trị Cơ sở dữ liệu </t>
  </si>
  <si>
    <t>71ITIS30203</t>
  </si>
  <si>
    <t>TC</t>
  </si>
  <si>
    <t>Khối kiến thức: II.3.2-5. Chuyên ngành Tự chọn  (9 TC)</t>
  </si>
  <si>
    <t>Trí tuệ Nhân tạo</t>
  </si>
  <si>
    <t>Tools and Platforms for Artificial Intelligence</t>
  </si>
  <si>
    <t>Các công cụ và nền tảng cho trí tuệ nhân tạo</t>
  </si>
  <si>
    <t>71ITAI41303</t>
  </si>
  <si>
    <t>[71ITAI40503]Trí tuệ nhân tạo ứng dụng</t>
  </si>
  <si>
    <t>Introduction to Deep learning</t>
  </si>
  <si>
    <t>Giới thiệu về học sâu</t>
  </si>
  <si>
    <t>71ITAI40403</t>
  </si>
  <si>
    <t xml:space="preserve">[71ITAI41203]Học máy và ứng dụng </t>
  </si>
  <si>
    <t>Computer Vision</t>
  </si>
  <si>
    <t xml:space="preserve">Thị giác máy tính </t>
  </si>
  <si>
    <t>71ITAI40603</t>
  </si>
  <si>
    <t>[71ITDS40203]Xác xuất thống kê ứng dụng</t>
  </si>
  <si>
    <t>Applied Artificial Intelligence</t>
  </si>
  <si>
    <t>Trí tuệ nhân tạo ứng dụng</t>
  </si>
  <si>
    <t>71ITAI40503</t>
  </si>
  <si>
    <t> Không</t>
  </si>
  <si>
    <t>Applied Machine Learning</t>
  </si>
  <si>
    <t>Học máy ứng dụng</t>
  </si>
  <si>
    <t>71ITAI41203</t>
  </si>
  <si>
    <t xml:space="preserve">Không </t>
  </si>
  <si>
    <t>Introduction to Digital Image Processing</t>
  </si>
  <si>
    <t xml:space="preserve">Nhập môn xử lý ảnh số </t>
  </si>
  <si>
    <t>71ITAI40803</t>
  </si>
  <si>
    <t>Khối kiến thức: II.3.2-3. Chuyên ngành Trí tuệ Nhân tạo  (18 BB + 9 TC)</t>
  </si>
  <si>
    <t>Công nghệ Dữ liệu</t>
  </si>
  <si>
    <t>Data Encryption and Security</t>
  </si>
  <si>
    <t>Mã hóa dữ liệu và chuỗi khối (Block chain)</t>
  </si>
  <si>
    <t>71ITDS40503</t>
  </si>
  <si>
    <t xml:space="preserve">[71ITSE30303]Cấu trúc dữ liệu và giải thuật </t>
  </si>
  <si>
    <t>Parallel Computational Programming</t>
  </si>
  <si>
    <t xml:space="preserve">Lập trình tính toán song song </t>
  </si>
  <si>
    <t>71ITAI40903</t>
  </si>
  <si>
    <t>Information Digitization and Management</t>
  </si>
  <si>
    <t xml:space="preserve">Số hóa và quản trị thông tin số </t>
  </si>
  <si>
    <t>71ITDS40403</t>
  </si>
  <si>
    <t>200111403</t>
  </si>
  <si>
    <t>Decision Support Systems</t>
  </si>
  <si>
    <t xml:space="preserve">Các hệ hỗ trợ ra quyết định </t>
  </si>
  <si>
    <t>71ITAI40303</t>
  </si>
  <si>
    <t>Introduction to Machine Learning</t>
  </si>
  <si>
    <t xml:space="preserve">Nhập môn học máy </t>
  </si>
  <si>
    <t>71ITAI40203</t>
  </si>
  <si>
    <t>Introduction to BigData Analytics</t>
  </si>
  <si>
    <t>Nhập môn Phân tích Dữ liệu lớn</t>
  </si>
  <si>
    <t>71ITDS40303</t>
  </si>
  <si>
    <t>Khối kiến thức: II.3.2-2. Chuyên ngành Công nghệ Dữ liệu  (18 BB + 9 TC)</t>
  </si>
  <si>
    <t>Công nghệ Phần mềm</t>
  </si>
  <si>
    <t>[71ITSE41003]Nhập môn công nghệ phần mềm</t>
  </si>
  <si>
    <t>Software Project Management</t>
  </si>
  <si>
    <t xml:space="preserve">Quản lý dự án phần mềm </t>
  </si>
  <si>
    <t>71ITSE41503</t>
  </si>
  <si>
    <t>[71ITSE30503]Lập trình ứng dụng web</t>
  </si>
  <si>
    <t>Advanced Web Programming</t>
  </si>
  <si>
    <t xml:space="preserve">Lập trình Web nâng cao </t>
  </si>
  <si>
    <t>71ITSE41403</t>
  </si>
  <si>
    <t>[71ITSE41103]Kỹ thuật lấy yêu cầu</t>
  </si>
  <si>
    <t>Object Oriented Analysis and Design</t>
  </si>
  <si>
    <t xml:space="preserve">Phân tích và thiết kế hệ thống theo Hướng đối tượng </t>
  </si>
  <si>
    <t>71ITSE41303</t>
  </si>
  <si>
    <t>Software Testing</t>
  </si>
  <si>
    <t xml:space="preserve">Kiểm thử phần mềm </t>
  </si>
  <si>
    <t>71ITSE41203</t>
  </si>
  <si>
    <t>Requirements Engineering</t>
  </si>
  <si>
    <t xml:space="preserve">Kỹ thuật lấy yêu cầu </t>
  </si>
  <si>
    <t>71ITSE41103</t>
  </si>
  <si>
    <t>[71ITBS10103]Nhập môn công nghệ thông tin</t>
  </si>
  <si>
    <t>Introduction to Software Technology</t>
  </si>
  <si>
    <t xml:space="preserve">Nhập môn Công nghệ phần mềm </t>
  </si>
  <si>
    <t>71ITSE41003</t>
  </si>
  <si>
    <t>Khối kiến thức: II.3.2-1. Chuyên ngành Công nghệ Phần mềm (18 BB + 9 TC)</t>
  </si>
  <si>
    <t xml:space="preserve">Khối kiến thức: II.3.2. Kiến thức chuyên ngành hoặc chuyên sâu (phân nhánh định hướng nghề nghiệp của ngành) </t>
  </si>
  <si>
    <t>Chuyển từ TC Chuyên ngành lên TC CS ngành; Theo hướng lập trình Front-end</t>
  </si>
  <si>
    <t>Kiến thức cơ sở ngành</t>
  </si>
  <si>
    <t>TC206 (6TC)</t>
  </si>
  <si>
    <t>User Interface Design</t>
  </si>
  <si>
    <t>Thiết kế giao diện người dùng</t>
  </si>
  <si>
    <t>71ITSE30903</t>
  </si>
  <si>
    <t>Chuyển từ TC Chuyên ngành lên TC CS ngành; Theo hướng quản lý</t>
  </si>
  <si>
    <t>IT Project Management</t>
  </si>
  <si>
    <t>Quản lý Dự án Công nghệ Thông tin</t>
  </si>
  <si>
    <t>71ITIS30303</t>
  </si>
  <si>
    <t>Bổ sung lại (các khóa trước có); Đổi tên từ Nhập môn Hệ thống Thông tin; Theo hướng HTTT</t>
  </si>
  <si>
    <t>Introduction to Information Systems</t>
  </si>
  <si>
    <t>Nhập môn Hệ thống thông tin</t>
  </si>
  <si>
    <t>71ISBC30103</t>
  </si>
  <si>
    <t>Bổ sung lại (các khóa trước có); Đổi tên từ Nhập môn hệ thống nhúng; Theo hướng IoT</t>
  </si>
  <si>
    <t>Foundation of Embedded System</t>
  </si>
  <si>
    <t>Nhập môn hệ thống nhúng</t>
  </si>
  <si>
    <t>71NWSE40103</t>
  </si>
  <si>
    <t>Chuyển từ BB -&gt; TC; Theo hướng CNPM</t>
  </si>
  <si>
    <t>[71ITSE30103]Kỹ thuật lập trình</t>
  </si>
  <si>
    <t>Java Application Programming</t>
  </si>
  <si>
    <t>Lập trình ứng dụng Java</t>
  </si>
  <si>
    <t>71ITSE30403</t>
  </si>
  <si>
    <t>Chuyển từ BB -&gt; TC; Theo hướng CNDL, TTNT</t>
  </si>
  <si>
    <t>[71ITMA10403]Toán rời rạc</t>
  </si>
  <si>
    <t>Applicable Probability and Statistics</t>
  </si>
  <si>
    <t>Xác xuất thống kê ứng dụng</t>
  </si>
  <si>
    <t>71ITDS40203</t>
  </si>
  <si>
    <t>Introduction to Data Analytics and Deep Learning</t>
  </si>
  <si>
    <t>Nhập môn Phân tích Dữ liệu và Học sâu</t>
  </si>
  <si>
    <t>71ITDS30203</t>
  </si>
  <si>
    <t>Bổ sung lại (các khóa trước có)</t>
  </si>
  <si>
    <t>Network Security</t>
  </si>
  <si>
    <t xml:space="preserve">An ninh Mạng máy tính </t>
  </si>
  <si>
    <t>71ITNW30303</t>
  </si>
  <si>
    <t>Web Application Programming</t>
  </si>
  <si>
    <t xml:space="preserve">Lập trình ứng dụng Web </t>
  </si>
  <si>
    <t>71ITSE30503</t>
  </si>
  <si>
    <t>Software Development Platforms</t>
  </si>
  <si>
    <t>Các nền tảng phát triển phần mềm</t>
  </si>
  <si>
    <t>71ITDS30103</t>
  </si>
  <si>
    <t>Object-Oriented Programming</t>
  </si>
  <si>
    <t xml:space="preserve">Lập trình hướng đối tượng </t>
  </si>
  <si>
    <t>71ITSE30203</t>
  </si>
  <si>
    <t>Khối kiến thức: II.2. Kiến thức cơ sở ngành (12 BB + 6 TC)</t>
  </si>
  <si>
    <t>Môn CS Ngành chuyển lên CS nhóm ngành</t>
  </si>
  <si>
    <t>Kiến thức cơ sở khối ngành</t>
  </si>
  <si>
    <t>Introduction to Artificial Intelligence</t>
  </si>
  <si>
    <t>Nhập môn Trí tuệ nhân tạo</t>
  </si>
  <si>
    <t>71ITAI40103</t>
  </si>
  <si>
    <t>Programming Techniques</t>
  </si>
  <si>
    <t>Kỹ thuật lập trình</t>
  </si>
  <si>
    <t>71ITSE30103</t>
  </si>
  <si>
    <t>Đổi mã mới cho đúng quy định --&gt; Làm tương đương</t>
  </si>
  <si>
    <t>[71ITMA10104]Toán cao cấp và ứng dụng</t>
  </si>
  <si>
    <t>Discrete Mathematics</t>
  </si>
  <si>
    <t>Toán rời rạc</t>
  </si>
  <si>
    <t>71ITMA10404</t>
  </si>
  <si>
    <t>Data Structures and Algorithms</t>
  </si>
  <si>
    <t>Cấu trúc dữ liệu và giải thuật</t>
  </si>
  <si>
    <t>71ITSE30303</t>
  </si>
  <si>
    <t>Introduction to Computer Networks and Cloud Computing</t>
  </si>
  <si>
    <t>Nhập môn Mạng máy tính và điện toán đám mây</t>
  </si>
  <si>
    <t>71ITNW30103</t>
  </si>
  <si>
    <t>Databases</t>
  </si>
  <si>
    <t>Cơ sở dữ liệu</t>
  </si>
  <si>
    <t>71ITIS30103</t>
  </si>
  <si>
    <t>Programming Basics</t>
  </si>
  <si>
    <t>Cơ sở lập trình</t>
  </si>
  <si>
    <t>71ITBS10203</t>
  </si>
  <si>
    <t>Introduction to Information Technology</t>
  </si>
  <si>
    <t>Nhập môn Công nghệ thông tin</t>
  </si>
  <si>
    <t>71ITBS10103</t>
  </si>
  <si>
    <t xml:space="preserve">Khối kiến thức: II.1. Kiến thức cơ sở khối ngành </t>
  </si>
  <si>
    <t>Khối kiến thức: II.  Kiến thức giáo dục chuyên nghiệp</t>
  </si>
  <si>
    <t>Bộ môn Giáo dục quốc phòng và an ninh</t>
  </si>
  <si>
    <t>Giáo dục thể chất và giáo dục quốc phòng</t>
  </si>
  <si>
    <t>GDQP4: Kỹ thuật chiến đấu bộ binh và chiến thuật</t>
  </si>
  <si>
    <t>71NAD410044</t>
  </si>
  <si>
    <t>GDQP3: Quân sự chung</t>
  </si>
  <si>
    <t>71NAD310032</t>
  </si>
  <si>
    <t>GDQP2: Công tác quốc phòng và an ninh</t>
  </si>
  <si>
    <t>71NAD210022</t>
  </si>
  <si>
    <t>GDQP1: Đường lối QP và AN của ĐCSVN</t>
  </si>
  <si>
    <t>71NAD110013</t>
  </si>
  <si>
    <t>Bộ môn Giáo dục thể chất</t>
  </si>
  <si>
    <t>TC102 (2TC)</t>
  </si>
  <si>
    <t>Bóng chuyền</t>
  </si>
  <si>
    <t>71PEVB10022</t>
  </si>
  <si>
    <t>Bóng bàn</t>
  </si>
  <si>
    <t>71PETT10012</t>
  </si>
  <si>
    <t>Tennis</t>
  </si>
  <si>
    <t>71PETE10122</t>
  </si>
  <si>
    <t>Bắn súng thể thao</t>
  </si>
  <si>
    <t>71PESS10162</t>
  </si>
  <si>
    <t>Leo núi thể thao</t>
  </si>
  <si>
    <t>71PESC10112</t>
  </si>
  <si>
    <t>Marathon</t>
  </si>
  <si>
    <t>71PEMT10152</t>
  </si>
  <si>
    <t>Võ thuật</t>
  </si>
  <si>
    <t>71PEMA10132</t>
  </si>
  <si>
    <t>Golf</t>
  </si>
  <si>
    <t>71PEGO10092</t>
  </si>
  <si>
    <t>Futsal</t>
  </si>
  <si>
    <t>71PEFU10082</t>
  </si>
  <si>
    <t>Fitness</t>
  </si>
  <si>
    <t>71PEFI10072</t>
  </si>
  <si>
    <t>Khiêu vũ</t>
  </si>
  <si>
    <t>71PEDA10102</t>
  </si>
  <si>
    <t>Bóng rổ</t>
  </si>
  <si>
    <t>71PEBB10032</t>
  </si>
  <si>
    <t>Cầu lông</t>
  </si>
  <si>
    <t>71PEBA10052</t>
  </si>
  <si>
    <t>[71PEKC10062]Cờ vua</t>
  </si>
  <si>
    <t>Cờ vua nâng cao</t>
  </si>
  <si>
    <t>71PEKC10172</t>
  </si>
  <si>
    <t>TC002 (2TC)</t>
  </si>
  <si>
    <t>Hatha yoga</t>
  </si>
  <si>
    <t>71PEYO10142</t>
  </si>
  <si>
    <t>Bơi lội</t>
  </si>
  <si>
    <t>71PESW10042</t>
  </si>
  <si>
    <t>Cờ vua</t>
  </si>
  <si>
    <t>71PEKC10062</t>
  </si>
  <si>
    <t>TCKTL</t>
  </si>
  <si>
    <t xml:space="preserve">Khối kiến thức: I.6. Giáo dục thể chất và giáo dục quốc phòng </t>
  </si>
  <si>
    <t>Bộ môn Anh văn tổng quát</t>
  </si>
  <si>
    <t>Ngoại ngữ</t>
  </si>
  <si>
    <t>[71ENG610063]Anh văn 6 (AV6)</t>
  </si>
  <si>
    <t>English 7</t>
  </si>
  <si>
    <t>Anh văn 7 (AV7)</t>
  </si>
  <si>
    <t>71ENG710073</t>
  </si>
  <si>
    <t>[71ENG510053]Anh văn 5 (AV5)</t>
  </si>
  <si>
    <t>English 6</t>
  </si>
  <si>
    <t>Anh văn 6 (AV6)</t>
  </si>
  <si>
    <t>71ENG610063</t>
  </si>
  <si>
    <t>[71ENG410043]Anh văn 4 (AV4)</t>
  </si>
  <si>
    <t>English 5</t>
  </si>
  <si>
    <t>Anh văn 5 (AV5)</t>
  </si>
  <si>
    <t>71ENG510053</t>
  </si>
  <si>
    <t>[71ENG310033]Anh văn 3 (AV3)</t>
  </si>
  <si>
    <t>English 4</t>
  </si>
  <si>
    <t>Anh văn 4 (AV4)</t>
  </si>
  <si>
    <t>71ENG410043</t>
  </si>
  <si>
    <t>[71ENG210023]Anh văn 2 (AV2)</t>
  </si>
  <si>
    <t>English 3</t>
  </si>
  <si>
    <t>Anh văn 3 (AV3)</t>
  </si>
  <si>
    <t>71ENG310033</t>
  </si>
  <si>
    <t>[71ENG110013]Anh văn 1 (AV1)</t>
  </si>
  <si>
    <t>English 2</t>
  </si>
  <si>
    <t>Anh văn 2 (AV2)</t>
  </si>
  <si>
    <t>71ENG210023</t>
  </si>
  <si>
    <t>[71ENG010012]Anh văn dự bị (AV0)</t>
  </si>
  <si>
    <t>English 1</t>
  </si>
  <si>
    <t>Anh văn 1 (AV1)</t>
  </si>
  <si>
    <t>71ENG110013</t>
  </si>
  <si>
    <t xml:space="preserve">Khối kiến thức: I.2. Ngoại ngữ </t>
  </si>
  <si>
    <t>Bộ môn Lịch sử Đảng CSVN và Tư tưởng HCM</t>
  </si>
  <si>
    <t>200111207</t>
  </si>
  <si>
    <t>Lý luận chính trị</t>
  </si>
  <si>
    <t>[71POLE10022]Kinh tế chính trị Mác-Lênin, [71POLS10032]Chủ nghĩa xã hội khoa học</t>
  </si>
  <si>
    <t>History of Vietnamese Communist Party</t>
  </si>
  <si>
    <t>Lịch sử Đảng Cộng sản Việt Nam</t>
  </si>
  <si>
    <t>71POLC10052</t>
  </si>
  <si>
    <t>Ho Chi Minh's Thought</t>
  </si>
  <si>
    <t>Tư tưởng Hồ Chí Minh</t>
  </si>
  <si>
    <t>71POLH10042</t>
  </si>
  <si>
    <t>Bộ môn Triết học và Chủ nghĩa XHKH</t>
  </si>
  <si>
    <t>200111206</t>
  </si>
  <si>
    <t>[71POLP10013]Triết học Mác-Lênin</t>
  </si>
  <si>
    <t>Scientific Socialism</t>
  </si>
  <si>
    <t>Chủ nghĩa xã hội khoa học</t>
  </si>
  <si>
    <t>71POLS10032</t>
  </si>
  <si>
    <t>Bộ môn Kinh tế chính trị Mác - Lênin</t>
  </si>
  <si>
    <t>200111208</t>
  </si>
  <si>
    <t>Marxist – Leninist Political Economy</t>
  </si>
  <si>
    <t>Kinh tế chính trị Mác-Lênin</t>
  </si>
  <si>
    <t>71POLE10022</t>
  </si>
  <si>
    <t>Philosophy of Marxism and Leninism</t>
  </si>
  <si>
    <t>Triết học Mác-Lênin</t>
  </si>
  <si>
    <t>71POLP10013</t>
  </si>
  <si>
    <t xml:space="preserve">Khối kiến thức: I.1. Lý luận chính trị </t>
  </si>
  <si>
    <t>Trung tâm Phát triển năng lực sinh viên</t>
  </si>
  <si>
    <t>2001206</t>
  </si>
  <si>
    <t>Đại cương</t>
  </si>
  <si>
    <t>Kỹ năng công dân toàn cầu</t>
  </si>
  <si>
    <t>71SSK110023</t>
  </si>
  <si>
    <t>Linear Algebra</t>
  </si>
  <si>
    <t>Đại số tuyến tính và ứng dụng</t>
  </si>
  <si>
    <t>71MATL10053</t>
  </si>
  <si>
    <t>Advanced Calculus</t>
  </si>
  <si>
    <t>Toán cao cấp và ứng dụng</t>
  </si>
  <si>
    <t>71ITMA10104</t>
  </si>
  <si>
    <t>Bộ môn Công nghệ kỹ thuật môi trường</t>
  </si>
  <si>
    <t>Phát triển bền vững</t>
  </si>
  <si>
    <t>71SUDE10012</t>
  </si>
  <si>
    <t>Bộ Môn Luật Hành chính - Nhà nước</t>
  </si>
  <si>
    <t>200110201</t>
  </si>
  <si>
    <t>General Law</t>
  </si>
  <si>
    <t>Pháp luật đại cương</t>
  </si>
  <si>
    <t>71LAWG10012</t>
  </si>
  <si>
    <t xml:space="preserve">A1. Kiến thức đại cương </t>
  </si>
  <si>
    <t>A. Khối kiến thức giáo dục đại cương</t>
  </si>
  <si>
    <t>Năm thứ</t>
  </si>
  <si>
    <t>Học kỳ</t>
  </si>
  <si>
    <t>BM phụ trách</t>
  </si>
  <si>
    <t>Mã BM</t>
  </si>
  <si>
    <t>Ghi chú</t>
  </si>
  <si>
    <t>Tên chuyên ngành/chuyên sâu</t>
  </si>
  <si>
    <t>Khối kiến thức</t>
  </si>
  <si>
    <t>Điều kiện học trước</t>
  </si>
  <si>
    <t>Điều kiện tiên quyết</t>
  </si>
  <si>
    <t>BB/TC</t>
  </si>
  <si>
    <t>TT</t>
  </si>
  <si>
    <t>ĐA</t>
  </si>
  <si>
    <t>TH</t>
  </si>
  <si>
    <t>LT</t>
  </si>
  <si>
    <t>Số tín chỉ</t>
  </si>
  <si>
    <t>Tên học phần tiếng Anh</t>
  </si>
  <si>
    <t>Tên học phần tiếng Việt</t>
  </si>
  <si>
    <t>Mã học phần</t>
  </si>
  <si>
    <t>Tổng tín chỉ của CTĐT: 126 tín chỉ</t>
  </si>
  <si>
    <t>KHUNG CHƯƠNG TRÌNH ĐÀO TẠO NGÀNH CÔNG NGHỆ THÔNG TIN KHÓA 31</t>
  </si>
  <si>
    <t>KHOA CÔNG NGHỆ THÔNG TIN</t>
  </si>
  <si>
    <t>TRƯỜNG ĐẠI HỌC VĂN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</si>
</sst>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3"/>
      <color theme="1"/>
      <name val="Times New Roman"/>
      <family val="2"/>
    </font>
    <font>
      <sz val="10"/>
      <name val="Aptos Narrow"/>
      <family val="2"/>
      <scheme val="minor"/>
    </font>
    <font>
      <sz val="11"/>
      <name val="Times New Roman"/>
      <family val="1"/>
    </font>
    <font>
      <sz val="11"/>
      <name val="Tahoma"/>
      <family val="2"/>
    </font>
    <font>
      <sz val="11"/>
      <name val="Aptos Narrow"/>
      <family val="2"/>
      <scheme val="minor"/>
    </font>
    <font>
      <i/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Tahoma"/>
      <family val="2"/>
    </font>
    <font>
      <sz val="11"/>
      <color rgb="FFFF0000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70C0"/>
      <name val="Aptos Narrow"/>
      <family val="2"/>
      <scheme val="minor"/>
    </font>
    <font>
      <b/>
      <sz val="15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6D9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DECE3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1"/>
      </left>
      <right/>
      <top style="thin">
        <color indexed="61"/>
      </top>
      <bottom style="thin">
        <color auto="1"/>
      </bottom>
      <diagonal/>
    </border>
    <border>
      <left style="thin">
        <color indexed="61"/>
      </left>
      <right/>
      <top style="thin">
        <color indexed="61"/>
      </top>
      <bottom style="thin">
        <color indexed="6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2">
    <xf numFmtId="0" fontId="0" fillId="0" borderId="0" xfId="0"/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49" fontId="1" fillId="0" borderId="0" xfId="1" applyNumberFormat="1" applyAlignment="1">
      <alignment horizontal="left" vertical="center" wrapText="1"/>
    </xf>
    <xf numFmtId="0" fontId="1" fillId="0" borderId="0" xfId="1" applyAlignment="1">
      <alignment vertical="center" wrapText="1"/>
    </xf>
    <xf numFmtId="0" fontId="1" fillId="0" borderId="1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2" xfId="1" applyBorder="1" applyAlignment="1">
      <alignment horizontal="left" vertical="center" wrapText="1"/>
    </xf>
    <xf numFmtId="0" fontId="1" fillId="0" borderId="2" xfId="1" applyBorder="1" applyAlignment="1">
      <alignment horizontal="center" vertical="center" wrapText="1"/>
    </xf>
    <xf numFmtId="49" fontId="1" fillId="0" borderId="2" xfId="1" applyNumberFormat="1" applyBorder="1" applyAlignment="1">
      <alignment horizontal="left" vertical="center" wrapText="1"/>
    </xf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vertical="center" wrapText="1"/>
    </xf>
    <xf numFmtId="0" fontId="1" fillId="0" borderId="3" xfId="1" applyBorder="1" applyAlignment="1">
      <alignment horizontal="center" vertical="center"/>
    </xf>
    <xf numFmtId="0" fontId="2" fillId="0" borderId="0" xfId="2" applyAlignment="1">
      <alignment vertical="center"/>
    </xf>
    <xf numFmtId="0" fontId="2" fillId="0" borderId="0" xfId="2" applyAlignment="1">
      <alignment horizontal="left" vertical="center"/>
    </xf>
    <xf numFmtId="0" fontId="2" fillId="0" borderId="0" xfId="2" applyAlignment="1">
      <alignment horizontal="center" vertical="center"/>
    </xf>
    <xf numFmtId="0" fontId="2" fillId="2" borderId="4" xfId="2" applyFill="1" applyBorder="1" applyAlignment="1">
      <alignment horizontal="center" vertical="center"/>
    </xf>
    <xf numFmtId="0" fontId="2" fillId="2" borderId="5" xfId="2" applyFill="1" applyBorder="1" applyAlignment="1">
      <alignment horizontal="center" vertical="center"/>
    </xf>
    <xf numFmtId="0" fontId="3" fillId="3" borderId="6" xfId="2" applyFont="1" applyFill="1" applyBorder="1" applyAlignment="1">
      <alignment horizontal="left" vertical="center" wrapText="1"/>
    </xf>
    <xf numFmtId="0" fontId="2" fillId="2" borderId="5" xfId="2" applyFill="1" applyBorder="1" applyAlignment="1">
      <alignment vertical="center" wrapText="1"/>
    </xf>
    <xf numFmtId="0" fontId="4" fillId="4" borderId="6" xfId="2" applyFont="1" applyFill="1" applyBorder="1" applyAlignment="1">
      <alignment vertical="center" wrapText="1"/>
    </xf>
    <xf numFmtId="0" fontId="2" fillId="5" borderId="5" xfId="2" applyFill="1" applyBorder="1" applyAlignment="1">
      <alignment horizontal="left" vertical="center" wrapText="1"/>
    </xf>
    <xf numFmtId="0" fontId="2" fillId="5" borderId="5" xfId="2" applyFill="1" applyBorder="1" applyAlignment="1">
      <alignment vertical="center" wrapText="1"/>
    </xf>
    <xf numFmtId="0" fontId="4" fillId="5" borderId="5" xfId="2" applyFont="1" applyFill="1" applyBorder="1" applyAlignment="1">
      <alignment horizontal="center" vertical="center"/>
    </xf>
    <xf numFmtId="0" fontId="4" fillId="5" borderId="6" xfId="2" applyFont="1" applyFill="1" applyBorder="1" applyAlignment="1">
      <alignment horizontal="center" vertical="center"/>
    </xf>
    <xf numFmtId="0" fontId="2" fillId="5" borderId="6" xfId="2" applyFill="1" applyBorder="1" applyAlignment="1">
      <alignment horizontal="center" vertical="center"/>
    </xf>
    <xf numFmtId="0" fontId="2" fillId="5" borderId="5" xfId="2" applyFill="1" applyBorder="1" applyAlignment="1">
      <alignment horizontal="center" vertical="center" wrapText="1"/>
    </xf>
    <xf numFmtId="0" fontId="2" fillId="5" borderId="5" xfId="2" applyFill="1" applyBorder="1" applyAlignment="1">
      <alignment horizontal="center" vertical="center"/>
    </xf>
    <xf numFmtId="0" fontId="4" fillId="5" borderId="6" xfId="2" quotePrefix="1" applyFont="1" applyFill="1" applyBorder="1" applyAlignment="1">
      <alignment vertical="center" wrapText="1"/>
    </xf>
    <xf numFmtId="0" fontId="2" fillId="2" borderId="7" xfId="2" applyFill="1" applyBorder="1" applyAlignment="1">
      <alignment horizontal="center" vertical="center"/>
    </xf>
    <xf numFmtId="0" fontId="4" fillId="6" borderId="6" xfId="2" applyFont="1" applyFill="1" applyBorder="1" applyAlignment="1">
      <alignment vertical="center" wrapText="1"/>
    </xf>
    <xf numFmtId="0" fontId="2" fillId="5" borderId="5" xfId="2" applyFill="1" applyBorder="1" applyAlignment="1">
      <alignment horizontal="left" vertical="center"/>
    </xf>
    <xf numFmtId="0" fontId="4" fillId="5" borderId="6" xfId="2" applyFont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6" xfId="1" applyFill="1" applyBorder="1" applyAlignment="1">
      <alignment vertical="center" wrapText="1"/>
    </xf>
    <xf numFmtId="0" fontId="1" fillId="2" borderId="6" xfId="1" applyFill="1" applyBorder="1" applyAlignment="1">
      <alignment horizontal="left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9" xfId="1" applyFill="1" applyBorder="1" applyAlignment="1">
      <alignment horizontal="center" vertical="center"/>
    </xf>
    <xf numFmtId="0" fontId="1" fillId="0" borderId="0" xfId="1"/>
    <xf numFmtId="0" fontId="5" fillId="7" borderId="10" xfId="1" applyFont="1" applyFill="1" applyBorder="1" applyAlignment="1">
      <alignment vertical="top" wrapText="1"/>
    </xf>
    <xf numFmtId="0" fontId="5" fillId="7" borderId="10" xfId="1" applyFont="1" applyFill="1" applyBorder="1" applyAlignment="1">
      <alignment horizontal="center" vertical="center" wrapText="1"/>
    </xf>
    <xf numFmtId="0" fontId="5" fillId="7" borderId="10" xfId="1" applyFont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49" fontId="1" fillId="2" borderId="6" xfId="1" applyNumberFormat="1" applyFill="1" applyBorder="1" applyAlignment="1">
      <alignment vertical="center" wrapText="1"/>
    </xf>
    <xf numFmtId="0" fontId="1" fillId="0" borderId="0" xfId="1" applyAlignment="1">
      <alignment horizontal="left" vertical="center"/>
    </xf>
    <xf numFmtId="0" fontId="6" fillId="3" borderId="8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49" fontId="6" fillId="3" borderId="6" xfId="1" applyNumberFormat="1" applyFont="1" applyFill="1" applyBorder="1" applyAlignment="1">
      <alignment horizontal="left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7" fillId="3" borderId="6" xfId="1" applyFont="1" applyFill="1" applyBorder="1" applyAlignment="1">
      <alignment horizontal="left" vertical="center" wrapText="1"/>
    </xf>
    <xf numFmtId="0" fontId="4" fillId="3" borderId="6" xfId="1" applyFont="1" applyFill="1" applyBorder="1" applyAlignment="1">
      <alignment horizontal="left" vertical="center" wrapText="1"/>
    </xf>
    <xf numFmtId="0" fontId="4" fillId="3" borderId="6" xfId="1" applyFont="1" applyFill="1" applyBorder="1" applyAlignment="1">
      <alignment horizontal="center" vertical="center"/>
    </xf>
    <xf numFmtId="0" fontId="4" fillId="3" borderId="6" xfId="1" quotePrefix="1" applyFont="1" applyFill="1" applyBorder="1" applyAlignment="1">
      <alignment vertical="center" wrapText="1"/>
    </xf>
    <xf numFmtId="0" fontId="4" fillId="3" borderId="11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9" fontId="6" fillId="3" borderId="6" xfId="1" applyNumberFormat="1" applyFont="1" applyFill="1" applyBorder="1" applyAlignment="1">
      <alignment horizontal="left" vertical="center" wrapText="1"/>
    </xf>
    <xf numFmtId="49" fontId="6" fillId="3" borderId="6" xfId="1" applyNumberFormat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vertical="center" wrapText="1"/>
    </xf>
    <xf numFmtId="0" fontId="4" fillId="3" borderId="6" xfId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vertical="center" wrapText="1"/>
    </xf>
    <xf numFmtId="0" fontId="3" fillId="3" borderId="6" xfId="1" applyFont="1" applyFill="1" applyBorder="1" applyAlignment="1">
      <alignment horizontal="left" vertical="center" wrapText="1"/>
    </xf>
    <xf numFmtId="0" fontId="8" fillId="3" borderId="6" xfId="1" applyFont="1" applyFill="1" applyBorder="1" applyAlignment="1">
      <alignment horizontal="left" vertical="center"/>
    </xf>
    <xf numFmtId="0" fontId="5" fillId="8" borderId="10" xfId="1" applyFont="1" applyFill="1" applyBorder="1" applyAlignment="1">
      <alignment vertical="top" wrapText="1"/>
    </xf>
    <xf numFmtId="0" fontId="5" fillId="8" borderId="10" xfId="1" applyFont="1" applyFill="1" applyBorder="1" applyAlignment="1">
      <alignment horizontal="center" vertical="center" wrapText="1"/>
    </xf>
    <xf numFmtId="0" fontId="5" fillId="8" borderId="10" xfId="1" applyFont="1" applyFill="1" applyBorder="1" applyAlignment="1">
      <alignment vertical="center"/>
    </xf>
    <xf numFmtId="0" fontId="6" fillId="9" borderId="8" xfId="1" applyFont="1" applyFill="1" applyBorder="1" applyAlignment="1">
      <alignment horizontal="center" vertical="center"/>
    </xf>
    <xf numFmtId="0" fontId="6" fillId="9" borderId="12" xfId="1" applyFont="1" applyFill="1" applyBorder="1" applyAlignment="1">
      <alignment horizontal="center" vertical="center"/>
    </xf>
    <xf numFmtId="0" fontId="3" fillId="9" borderId="6" xfId="1" applyFont="1" applyFill="1" applyBorder="1" applyAlignment="1">
      <alignment horizontal="left" vertical="center" wrapText="1"/>
    </xf>
    <xf numFmtId="49" fontId="6" fillId="9" borderId="6" xfId="1" applyNumberFormat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vertical="center" wrapText="1"/>
    </xf>
    <xf numFmtId="0" fontId="4" fillId="9" borderId="6" xfId="1" applyFont="1" applyFill="1" applyBorder="1" applyAlignment="1">
      <alignment vertical="center" wrapText="1"/>
    </xf>
    <xf numFmtId="0" fontId="4" fillId="9" borderId="6" xfId="1" applyFont="1" applyFill="1" applyBorder="1" applyAlignment="1">
      <alignment horizontal="left" vertical="center" wrapText="1"/>
    </xf>
    <xf numFmtId="0" fontId="4" fillId="9" borderId="6" xfId="1" applyFont="1" applyFill="1" applyBorder="1" applyAlignment="1">
      <alignment horizontal="center" vertical="center" wrapText="1"/>
    </xf>
    <xf numFmtId="0" fontId="4" fillId="9" borderId="6" xfId="1" applyFont="1" applyFill="1" applyBorder="1" applyAlignment="1">
      <alignment horizontal="center" vertical="center"/>
    </xf>
    <xf numFmtId="0" fontId="4" fillId="9" borderId="11" xfId="1" applyFont="1" applyFill="1" applyBorder="1" applyAlignment="1">
      <alignment horizontal="center" vertical="center"/>
    </xf>
    <xf numFmtId="0" fontId="9" fillId="8" borderId="10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left" vertical="center" wrapText="1"/>
    </xf>
    <xf numFmtId="49" fontId="6" fillId="4" borderId="6" xfId="1" applyNumberFormat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vertical="center" wrapText="1"/>
    </xf>
    <xf numFmtId="0" fontId="4" fillId="4" borderId="6" xfId="1" applyFont="1" applyFill="1" applyBorder="1" applyAlignment="1">
      <alignment vertical="center" wrapText="1"/>
    </xf>
    <xf numFmtId="0" fontId="4" fillId="4" borderId="6" xfId="1" applyFont="1" applyFill="1" applyBorder="1" applyAlignment="1">
      <alignment horizontal="left" vertical="center" wrapText="1"/>
    </xf>
    <xf numFmtId="0" fontId="4" fillId="4" borderId="6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6" fillId="6" borderId="8" xfId="1" applyFont="1" applyFill="1" applyBorder="1" applyAlignment="1">
      <alignment horizontal="center" vertical="center"/>
    </xf>
    <xf numFmtId="0" fontId="6" fillId="6" borderId="12" xfId="1" applyFont="1" applyFill="1" applyBorder="1" applyAlignment="1">
      <alignment horizontal="center" vertical="center"/>
    </xf>
    <xf numFmtId="0" fontId="3" fillId="6" borderId="6" xfId="1" applyFont="1" applyFill="1" applyBorder="1" applyAlignment="1">
      <alignment horizontal="left" vertical="center" wrapText="1"/>
    </xf>
    <xf numFmtId="49" fontId="6" fillId="6" borderId="6" xfId="1" applyNumberFormat="1" applyFont="1" applyFill="1" applyBorder="1" applyAlignment="1">
      <alignment horizontal="center" vertical="center"/>
    </xf>
    <xf numFmtId="0" fontId="8" fillId="6" borderId="6" xfId="1" applyFont="1" applyFill="1" applyBorder="1" applyAlignment="1">
      <alignment vertical="center" wrapText="1"/>
    </xf>
    <xf numFmtId="0" fontId="4" fillId="6" borderId="6" xfId="1" applyFont="1" applyFill="1" applyBorder="1" applyAlignment="1">
      <alignment vertical="center" wrapText="1"/>
    </xf>
    <xf numFmtId="0" fontId="4" fillId="6" borderId="6" xfId="1" applyFont="1" applyFill="1" applyBorder="1" applyAlignment="1">
      <alignment horizontal="left" vertical="center" wrapText="1"/>
    </xf>
    <xf numFmtId="0" fontId="4" fillId="6" borderId="6" xfId="1" applyFont="1" applyFill="1" applyBorder="1" applyAlignment="1">
      <alignment horizontal="center" vertical="center" wrapText="1"/>
    </xf>
    <xf numFmtId="0" fontId="4" fillId="6" borderId="6" xfId="1" applyFont="1" applyFill="1" applyBorder="1" applyAlignment="1">
      <alignment horizontal="center" vertical="center"/>
    </xf>
    <xf numFmtId="0" fontId="4" fillId="6" borderId="11" xfId="1" applyFont="1" applyFill="1" applyBorder="1" applyAlignment="1">
      <alignment horizontal="center" vertical="center"/>
    </xf>
    <xf numFmtId="0" fontId="6" fillId="10" borderId="8" xfId="1" applyFont="1" applyFill="1" applyBorder="1" applyAlignment="1">
      <alignment horizontal="center" vertical="center"/>
    </xf>
    <xf numFmtId="0" fontId="6" fillId="10" borderId="12" xfId="1" applyFont="1" applyFill="1" applyBorder="1" applyAlignment="1">
      <alignment horizontal="center" vertical="center"/>
    </xf>
    <xf numFmtId="0" fontId="3" fillId="10" borderId="6" xfId="1" applyFont="1" applyFill="1" applyBorder="1" applyAlignment="1">
      <alignment horizontal="left" vertical="center" wrapText="1"/>
    </xf>
    <xf numFmtId="49" fontId="6" fillId="10" borderId="6" xfId="1" applyNumberFormat="1" applyFont="1" applyFill="1" applyBorder="1" applyAlignment="1">
      <alignment horizontal="center" vertical="center"/>
    </xf>
    <xf numFmtId="0" fontId="8" fillId="10" borderId="6" xfId="1" applyFont="1" applyFill="1" applyBorder="1" applyAlignment="1">
      <alignment vertical="center" wrapText="1"/>
    </xf>
    <xf numFmtId="0" fontId="4" fillId="10" borderId="6" xfId="1" applyFont="1" applyFill="1" applyBorder="1" applyAlignment="1">
      <alignment vertical="center" wrapText="1"/>
    </xf>
    <xf numFmtId="0" fontId="4" fillId="10" borderId="6" xfId="1" applyFont="1" applyFill="1" applyBorder="1" applyAlignment="1">
      <alignment horizontal="left" vertical="center" wrapText="1"/>
    </xf>
    <xf numFmtId="0" fontId="4" fillId="10" borderId="6" xfId="1" applyFont="1" applyFill="1" applyBorder="1" applyAlignment="1">
      <alignment horizontal="center" vertical="center" wrapText="1"/>
    </xf>
    <xf numFmtId="0" fontId="4" fillId="10" borderId="6" xfId="1" applyFont="1" applyFill="1" applyBorder="1" applyAlignment="1">
      <alignment horizontal="center" vertical="center"/>
    </xf>
    <xf numFmtId="0" fontId="10" fillId="10" borderId="6" xfId="1" applyFont="1" applyFill="1" applyBorder="1" applyAlignment="1">
      <alignment vertical="center" wrapText="1"/>
    </xf>
    <xf numFmtId="0" fontId="4" fillId="10" borderId="11" xfId="1" applyFont="1" applyFill="1" applyBorder="1" applyAlignment="1">
      <alignment horizontal="center" vertical="center"/>
    </xf>
    <xf numFmtId="0" fontId="8" fillId="10" borderId="6" xfId="1" applyFont="1" applyFill="1" applyBorder="1" applyAlignment="1">
      <alignment horizontal="left" vertical="center"/>
    </xf>
    <xf numFmtId="0" fontId="4" fillId="10" borderId="6" xfId="1" applyFont="1" applyFill="1" applyBorder="1" applyAlignment="1">
      <alignment horizontal="left" vertical="center"/>
    </xf>
    <xf numFmtId="0" fontId="6" fillId="11" borderId="8" xfId="1" applyFont="1" applyFill="1" applyBorder="1" applyAlignment="1">
      <alignment horizontal="center" vertical="center"/>
    </xf>
    <xf numFmtId="0" fontId="6" fillId="11" borderId="12" xfId="1" applyFont="1" applyFill="1" applyBorder="1" applyAlignment="1">
      <alignment horizontal="center" vertical="center"/>
    </xf>
    <xf numFmtId="0" fontId="3" fillId="11" borderId="6" xfId="1" applyFont="1" applyFill="1" applyBorder="1" applyAlignment="1">
      <alignment horizontal="left" vertical="center" wrapText="1"/>
    </xf>
    <xf numFmtId="49" fontId="6" fillId="11" borderId="6" xfId="1" applyNumberFormat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vertical="center"/>
    </xf>
    <xf numFmtId="0" fontId="4" fillId="11" borderId="6" xfId="1" applyFont="1" applyFill="1" applyBorder="1" applyAlignment="1">
      <alignment vertical="center" wrapText="1"/>
    </xf>
    <xf numFmtId="0" fontId="4" fillId="11" borderId="6" xfId="1" applyFont="1" applyFill="1" applyBorder="1" applyAlignment="1">
      <alignment horizontal="left" vertical="center"/>
    </xf>
    <xf numFmtId="0" fontId="4" fillId="11" borderId="6" xfId="1" applyFont="1" applyFill="1" applyBorder="1" applyAlignment="1">
      <alignment horizontal="center" vertical="center" wrapText="1"/>
    </xf>
    <xf numFmtId="0" fontId="4" fillId="11" borderId="6" xfId="1" applyFont="1" applyFill="1" applyBorder="1" applyAlignment="1">
      <alignment horizontal="center" vertical="center"/>
    </xf>
    <xf numFmtId="0" fontId="4" fillId="11" borderId="11" xfId="1" applyFont="1" applyFill="1" applyBorder="1" applyAlignment="1">
      <alignment horizontal="center" vertical="center"/>
    </xf>
    <xf numFmtId="0" fontId="5" fillId="12" borderId="10" xfId="1" applyFont="1" applyFill="1" applyBorder="1" applyAlignment="1">
      <alignment vertical="top" wrapText="1"/>
    </xf>
    <xf numFmtId="0" fontId="5" fillId="12" borderId="10" xfId="1" applyFont="1" applyFill="1" applyBorder="1" applyAlignment="1">
      <alignment horizontal="center" vertical="center" wrapText="1"/>
    </xf>
    <xf numFmtId="0" fontId="5" fillId="12" borderId="10" xfId="1" applyFont="1" applyFill="1" applyBorder="1" applyAlignment="1">
      <alignment vertical="center"/>
    </xf>
    <xf numFmtId="0" fontId="6" fillId="13" borderId="8" xfId="1" applyFont="1" applyFill="1" applyBorder="1" applyAlignment="1">
      <alignment horizontal="center" vertical="center"/>
    </xf>
    <xf numFmtId="0" fontId="6" fillId="13" borderId="6" xfId="1" applyFont="1" applyFill="1" applyBorder="1" applyAlignment="1">
      <alignment horizontal="center" vertical="center"/>
    </xf>
    <xf numFmtId="0" fontId="3" fillId="13" borderId="6" xfId="1" applyFont="1" applyFill="1" applyBorder="1" applyAlignment="1">
      <alignment horizontal="left" vertical="center" wrapText="1"/>
    </xf>
    <xf numFmtId="49" fontId="6" fillId="13" borderId="6" xfId="1" applyNumberFormat="1" applyFont="1" applyFill="1" applyBorder="1" applyAlignment="1">
      <alignment horizontal="center" vertical="center"/>
    </xf>
    <xf numFmtId="0" fontId="8" fillId="13" borderId="6" xfId="1" applyFont="1" applyFill="1" applyBorder="1" applyAlignment="1">
      <alignment vertical="center"/>
    </xf>
    <xf numFmtId="0" fontId="4" fillId="13" borderId="6" xfId="1" applyFont="1" applyFill="1" applyBorder="1" applyAlignment="1">
      <alignment vertical="center" wrapText="1"/>
    </xf>
    <xf numFmtId="0" fontId="4" fillId="13" borderId="6" xfId="1" applyFont="1" applyFill="1" applyBorder="1" applyAlignment="1">
      <alignment horizontal="left" vertical="center"/>
    </xf>
    <xf numFmtId="0" fontId="4" fillId="13" borderId="6" xfId="1" applyFont="1" applyFill="1" applyBorder="1" applyAlignment="1">
      <alignment horizontal="center" vertical="center" wrapText="1"/>
    </xf>
    <xf numFmtId="0" fontId="4" fillId="13" borderId="6" xfId="1" applyFont="1" applyFill="1" applyBorder="1" applyAlignment="1">
      <alignment horizontal="center" vertical="center"/>
    </xf>
    <xf numFmtId="0" fontId="4" fillId="13" borderId="9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Continuous" vertical="top" wrapText="1"/>
    </xf>
    <xf numFmtId="0" fontId="5" fillId="7" borderId="10" xfId="1" applyFont="1" applyFill="1" applyBorder="1" applyAlignment="1">
      <alignment horizontal="centerContinuous" vertical="center"/>
    </xf>
    <xf numFmtId="0" fontId="5" fillId="7" borderId="10" xfId="1" applyFont="1" applyFill="1" applyBorder="1" applyAlignment="1">
      <alignment vertical="top"/>
    </xf>
    <xf numFmtId="0" fontId="7" fillId="13" borderId="6" xfId="1" applyFont="1" applyFill="1" applyBorder="1" applyAlignment="1">
      <alignment vertical="center"/>
    </xf>
    <xf numFmtId="0" fontId="5" fillId="7" borderId="13" xfId="2" applyFont="1" applyFill="1" applyBorder="1" applyAlignment="1">
      <alignment vertical="center"/>
    </xf>
    <xf numFmtId="0" fontId="5" fillId="12" borderId="14" xfId="2" applyFont="1" applyFill="1" applyBorder="1" applyAlignment="1">
      <alignment vertical="center"/>
    </xf>
    <xf numFmtId="0" fontId="11" fillId="14" borderId="15" xfId="1" applyFont="1" applyFill="1" applyBorder="1" applyAlignment="1">
      <alignment horizontal="center" vertical="center" wrapText="1"/>
    </xf>
    <xf numFmtId="0" fontId="11" fillId="14" borderId="16" xfId="1" applyFont="1" applyFill="1" applyBorder="1" applyAlignment="1">
      <alignment horizontal="center" vertical="center" wrapText="1"/>
    </xf>
    <xf numFmtId="0" fontId="11" fillId="14" borderId="16" xfId="1" applyFont="1" applyFill="1" applyBorder="1" applyAlignment="1">
      <alignment horizontal="center" vertical="center"/>
    </xf>
    <xf numFmtId="0" fontId="11" fillId="14" borderId="17" xfId="1" applyFont="1" applyFill="1" applyBorder="1" applyAlignment="1">
      <alignment horizontal="center" vertical="center"/>
    </xf>
    <xf numFmtId="0" fontId="11" fillId="14" borderId="17" xfId="1" applyFont="1" applyFill="1" applyBorder="1" applyAlignment="1">
      <alignment horizontal="center" vertical="center" wrapText="1"/>
    </xf>
    <xf numFmtId="0" fontId="11" fillId="14" borderId="18" xfId="1" applyFont="1" applyFill="1" applyBorder="1" applyAlignment="1">
      <alignment horizontal="center" vertical="center" wrapText="1"/>
    </xf>
    <xf numFmtId="0" fontId="11" fillId="14" borderId="19" xfId="1" applyFont="1" applyFill="1" applyBorder="1" applyAlignment="1">
      <alignment horizontal="center" vertical="center" wrapText="1"/>
    </xf>
    <xf numFmtId="0" fontId="12" fillId="0" borderId="0" xfId="1" applyFont="1" applyAlignment="1">
      <alignment vertical="center"/>
    </xf>
    <xf numFmtId="0" fontId="13" fillId="9" borderId="6" xfId="1" applyFont="1" applyFill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4" fillId="0" borderId="0" xfId="1" applyFont="1" applyAlignment="1">
      <alignment vertical="center"/>
    </xf>
  </cellXfs>
  <cellStyles count="3">
    <cellStyle name="Normal" xfId="0" builtinId="0"/>
    <cellStyle name="Normal 2" xfId="2" xr:uid="{C0A2A9C0-1EA6-4710-845F-3D8F96D1E2F2}"/>
    <cellStyle name="Normal 4" xfId="1" xr:uid="{64A01E09-7E6B-4D5D-93AC-52F7F81E7CA3}"/>
  </cellStyles>
  <dxfs count="32"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C729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vanlangunivn-my.sharepoint.com/personal/phung_bm_vlu_edu_vn/Documents/Working/Khoa%20CNTT/2025-2026/R&#224;%20so&#225;t%20CT&#272;T%20-%20K32/R&#224;%20so&#225;t%20CT&#272;T%20-%20Ng&#224;nh%20CNTT/05.%20Tong%20ket/PL8_Khung%20CT&#272;T%20-%20B&#7843;n%20m&#244;%20t&#7843;%20CT&#272;T%20-%20B&#7843;n%20m&#244;%20t&#7843;%20Web%20CT&#272;T/Khung%20CT&#272;T%20K32%20CNTT-update20260323.xlsx" TargetMode="External"/><Relationship Id="rId2" Type="http://schemas.microsoft.com/office/2019/04/relationships/externalLinkLongPath" Target="https://vanlangunivn-my.sharepoint.com/personal/phung_bm_vlu_edu_vn/Documents/Working/Khoa%20CNTT/2025-2026/R&#224;%20so&#225;t%20CT&#272;T%20-%20K32/R&#224;%20so&#225;t%20CT&#272;T%20-%20Ng&#224;nh%20CNTT/05.%20Tong%20ket/PL8_Khung%20CT&#272;T%20-%20B&#7843;n%20m&#244;%20t&#7843;%20CT&#272;T%20-%20B&#7843;n%20m&#244;%20t&#7843;%20Web%20CT&#272;T/Khung%20CT&#272;T%20K32%20CNTT-update20260323.xlsx?9EBDF0DD" TargetMode="External"/><Relationship Id="rId1" Type="http://schemas.openxmlformats.org/officeDocument/2006/relationships/externalLinkPath" Target="file:///\\9EBDF0DD\Khung%20CT&#272;T%20K32%20CNTT-update202603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IS%20PC\Downloads\Khung%20CT&#272;T%20K31%20CNTT%20(2026-04-09).xlsx" TargetMode="External"/><Relationship Id="rId1" Type="http://schemas.openxmlformats.org/officeDocument/2006/relationships/externalLinkPath" Target="file:///C:\Users\THIS%20PC\Downloads\Khung%20CT&#272;T%20K31%20CNTT%20(2026-04-09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anlangunivn-my.sharepoint.com/OneDrive%20-%20moet.edu.vn/Dropbox/@My%20Work/@Du%20an/@2018/CSDL%20&#272;H/Phan%20mem/DANHMUC_03.01.19-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KHGD_CNTT-K32"/>
      <sheetName val="CTĐT_CNTT-K32"/>
      <sheetName val="Sheet1"/>
      <sheetName val="CTĐT_CNTT-K32 (BK)"/>
      <sheetName val="MaBoMon"/>
    </sheetNames>
    <sheetDataSet>
      <sheetData sheetId="0">
        <row r="9">
          <cell r="B9">
            <v>1</v>
          </cell>
          <cell r="C9">
            <v>1</v>
          </cell>
          <cell r="D9" t="str">
            <v>71ENG110013</v>
          </cell>
        </row>
        <row r="10">
          <cell r="B10">
            <v>1</v>
          </cell>
          <cell r="C10">
            <v>1</v>
          </cell>
          <cell r="D10" t="str">
            <v>71ITBS10103</v>
          </cell>
        </row>
        <row r="11">
          <cell r="B11">
            <v>1</v>
          </cell>
          <cell r="C11">
            <v>1</v>
          </cell>
          <cell r="D11" t="str">
            <v>71ITBS10203</v>
          </cell>
        </row>
        <row r="12">
          <cell r="B12">
            <v>1</v>
          </cell>
          <cell r="C12">
            <v>1</v>
          </cell>
          <cell r="D12" t="str">
            <v>71SSK110023</v>
          </cell>
        </row>
        <row r="14">
          <cell r="B14">
            <v>2</v>
          </cell>
          <cell r="C14">
            <v>1</v>
          </cell>
          <cell r="D14" t="str">
            <v>71ENG210023</v>
          </cell>
        </row>
        <row r="15">
          <cell r="B15">
            <v>2</v>
          </cell>
          <cell r="C15">
            <v>1</v>
          </cell>
          <cell r="D15" t="str">
            <v>71ITMA10104</v>
          </cell>
        </row>
        <row r="16">
          <cell r="B16">
            <v>2</v>
          </cell>
          <cell r="C16">
            <v>1</v>
          </cell>
          <cell r="D16" t="str">
            <v>71ITNW30103</v>
          </cell>
        </row>
        <row r="17">
          <cell r="B17">
            <v>2</v>
          </cell>
          <cell r="C17">
            <v>1</v>
          </cell>
          <cell r="D17" t="str">
            <v>71ITSE30103</v>
          </cell>
        </row>
        <row r="18">
          <cell r="D18" t="str">
            <v>GDTC1</v>
          </cell>
        </row>
        <row r="19">
          <cell r="B19">
            <v>3</v>
          </cell>
          <cell r="C19">
            <v>1</v>
          </cell>
          <cell r="D19" t="str">
            <v>71ENG310033</v>
          </cell>
        </row>
        <row r="20">
          <cell r="B20">
            <v>3</v>
          </cell>
          <cell r="C20">
            <v>1</v>
          </cell>
          <cell r="D20" t="str">
            <v>71ITIS30103</v>
          </cell>
        </row>
        <row r="21">
          <cell r="B21">
            <v>3</v>
          </cell>
          <cell r="C21">
            <v>1</v>
          </cell>
          <cell r="D21" t="str">
            <v>71ITSE30303</v>
          </cell>
        </row>
        <row r="22">
          <cell r="B22">
            <v>3</v>
          </cell>
          <cell r="C22">
            <v>1</v>
          </cell>
          <cell r="D22" t="str">
            <v>71ITAI40103</v>
          </cell>
        </row>
        <row r="23">
          <cell r="B23">
            <v>3</v>
          </cell>
          <cell r="C23">
            <v>1</v>
          </cell>
          <cell r="D23" t="str">
            <v>71NAD110013</v>
          </cell>
        </row>
        <row r="24">
          <cell r="B24">
            <v>3</v>
          </cell>
          <cell r="C24">
            <v>1</v>
          </cell>
          <cell r="D24" t="str">
            <v>71NAD210022</v>
          </cell>
        </row>
        <row r="25">
          <cell r="B25">
            <v>3</v>
          </cell>
          <cell r="C25">
            <v>1</v>
          </cell>
          <cell r="D25" t="str">
            <v>71NAD310032</v>
          </cell>
        </row>
        <row r="26">
          <cell r="B26">
            <v>3</v>
          </cell>
          <cell r="C26">
            <v>1</v>
          </cell>
          <cell r="D26" t="str">
            <v>71NAD410044</v>
          </cell>
        </row>
        <row r="28">
          <cell r="B28">
            <v>4</v>
          </cell>
          <cell r="C28">
            <v>2</v>
          </cell>
          <cell r="D28" t="str">
            <v>71ENG410043</v>
          </cell>
        </row>
        <row r="29">
          <cell r="B29">
            <v>4</v>
          </cell>
          <cell r="C29">
            <v>2</v>
          </cell>
          <cell r="D29" t="str">
            <v>71POLP10013</v>
          </cell>
        </row>
        <row r="30">
          <cell r="B30">
            <v>4</v>
          </cell>
          <cell r="C30">
            <v>2</v>
          </cell>
          <cell r="D30" t="str">
            <v>71MATL10053</v>
          </cell>
        </row>
        <row r="31">
          <cell r="B31">
            <v>4</v>
          </cell>
          <cell r="C31">
            <v>2</v>
          </cell>
          <cell r="D31" t="str">
            <v>71ITSE30503</v>
          </cell>
        </row>
        <row r="32">
          <cell r="B32">
            <v>4</v>
          </cell>
          <cell r="C32">
            <v>2</v>
          </cell>
          <cell r="D32" t="str">
            <v>71ITSE30203</v>
          </cell>
        </row>
        <row r="33">
          <cell r="B33">
            <v>4</v>
          </cell>
          <cell r="C33">
            <v>2</v>
          </cell>
          <cell r="D33" t="str">
            <v>GDTC2</v>
          </cell>
        </row>
        <row r="34">
          <cell r="B34">
            <v>5</v>
          </cell>
          <cell r="C34">
            <v>2</v>
          </cell>
          <cell r="D34" t="str">
            <v>71ENG510053</v>
          </cell>
        </row>
        <row r="35">
          <cell r="B35">
            <v>5</v>
          </cell>
          <cell r="C35">
            <v>2</v>
          </cell>
          <cell r="D35" t="str">
            <v>71ITMA10404</v>
          </cell>
        </row>
        <row r="36">
          <cell r="B36">
            <v>5</v>
          </cell>
          <cell r="C36">
            <v>2</v>
          </cell>
          <cell r="D36" t="str">
            <v>71ITNW30303</v>
          </cell>
        </row>
        <row r="37">
          <cell r="B37">
            <v>5</v>
          </cell>
          <cell r="C37">
            <v>2</v>
          </cell>
          <cell r="D37" t="str">
            <v>71ITDS30103</v>
          </cell>
        </row>
        <row r="38">
          <cell r="B38">
            <v>5</v>
          </cell>
          <cell r="C38">
            <v>2</v>
          </cell>
        </row>
        <row r="39">
          <cell r="B39">
            <v>6</v>
          </cell>
          <cell r="C39">
            <v>2</v>
          </cell>
          <cell r="D39" t="str">
            <v>71ENG610063</v>
          </cell>
        </row>
        <row r="40">
          <cell r="B40">
            <v>6</v>
          </cell>
          <cell r="C40">
            <v>2</v>
          </cell>
          <cell r="D40" t="str">
            <v>71ITDS40203</v>
          </cell>
        </row>
        <row r="41">
          <cell r="C41" t="str">
            <v>Chuyên ngành CNPM</v>
          </cell>
        </row>
        <row r="42">
          <cell r="B42">
            <v>6</v>
          </cell>
          <cell r="C42">
            <v>2</v>
          </cell>
          <cell r="D42" t="str">
            <v>71ITSE41003</v>
          </cell>
        </row>
        <row r="43">
          <cell r="C43" t="str">
            <v>Chuyên ngành CNDL</v>
          </cell>
        </row>
        <row r="44">
          <cell r="B44">
            <v>6</v>
          </cell>
          <cell r="C44">
            <v>2</v>
          </cell>
          <cell r="D44" t="str">
            <v>71AIEL40103</v>
          </cell>
        </row>
        <row r="45">
          <cell r="C45" t="str">
            <v>Chọn 1 trong các môn sau</v>
          </cell>
        </row>
        <row r="46">
          <cell r="B46">
            <v>6</v>
          </cell>
          <cell r="C46">
            <v>2</v>
          </cell>
          <cell r="D46" t="str">
            <v>71ISBC30103</v>
          </cell>
        </row>
        <row r="47">
          <cell r="B47">
            <v>6</v>
          </cell>
          <cell r="C47">
            <v>2</v>
          </cell>
          <cell r="D47" t="str">
            <v>71NWSE40103</v>
          </cell>
        </row>
        <row r="48">
          <cell r="B48">
            <v>6</v>
          </cell>
          <cell r="C48">
            <v>2</v>
          </cell>
          <cell r="D48" t="str">
            <v>71ITSE30903</v>
          </cell>
        </row>
        <row r="49">
          <cell r="B49">
            <v>6</v>
          </cell>
          <cell r="C49">
            <v>2</v>
          </cell>
          <cell r="D49" t="str">
            <v>71ITIS30203</v>
          </cell>
        </row>
        <row r="50">
          <cell r="B50">
            <v>6</v>
          </cell>
          <cell r="C50">
            <v>2</v>
          </cell>
          <cell r="D50" t="str">
            <v>71ITDS30203</v>
          </cell>
        </row>
        <row r="51">
          <cell r="B51">
            <v>7</v>
          </cell>
          <cell r="C51">
            <v>3</v>
          </cell>
          <cell r="D51" t="str">
            <v>71ENG710073</v>
          </cell>
        </row>
        <row r="52">
          <cell r="B52">
            <v>7</v>
          </cell>
          <cell r="C52">
            <v>3</v>
          </cell>
          <cell r="D52" t="str">
            <v>71POLE10022</v>
          </cell>
        </row>
        <row r="53">
          <cell r="B53">
            <v>7</v>
          </cell>
          <cell r="C53">
            <v>3</v>
          </cell>
        </row>
        <row r="54">
          <cell r="C54" t="str">
            <v>Chuyên ngành CNPM</v>
          </cell>
        </row>
        <row r="55">
          <cell r="B55">
            <v>7</v>
          </cell>
          <cell r="C55">
            <v>3</v>
          </cell>
          <cell r="D55" t="str">
            <v>71ITSE41103</v>
          </cell>
        </row>
        <row r="56">
          <cell r="B56">
            <v>7</v>
          </cell>
          <cell r="C56">
            <v>3</v>
          </cell>
          <cell r="D56" t="str">
            <v>71ITSE41203</v>
          </cell>
        </row>
        <row r="57">
          <cell r="B57">
            <v>7</v>
          </cell>
          <cell r="C57">
            <v>3</v>
          </cell>
          <cell r="D57" t="str">
            <v>71ITSE30403</v>
          </cell>
        </row>
        <row r="58">
          <cell r="C58" t="str">
            <v>Chuyên ngành CNDL</v>
          </cell>
        </row>
        <row r="59">
          <cell r="B59">
            <v>7</v>
          </cell>
          <cell r="C59">
            <v>3</v>
          </cell>
          <cell r="D59" t="str">
            <v>71ITAI40203</v>
          </cell>
        </row>
        <row r="60">
          <cell r="B60">
            <v>7</v>
          </cell>
          <cell r="C60">
            <v>3</v>
          </cell>
          <cell r="D60" t="str">
            <v>71ITAI40303</v>
          </cell>
        </row>
        <row r="61">
          <cell r="B61">
            <v>7</v>
          </cell>
          <cell r="C61">
            <v>3</v>
          </cell>
          <cell r="D61" t="str">
            <v>71AIMJ30103</v>
          </cell>
        </row>
        <row r="62">
          <cell r="C62" t="str">
            <v>Chọn 1 trong 3 môn sau</v>
          </cell>
        </row>
        <row r="63">
          <cell r="B63">
            <v>7</v>
          </cell>
          <cell r="C63">
            <v>3</v>
          </cell>
          <cell r="D63" t="str">
            <v>71AICR30103</v>
          </cell>
        </row>
        <row r="64">
          <cell r="B64">
            <v>7</v>
          </cell>
          <cell r="C64">
            <v>3</v>
          </cell>
          <cell r="D64" t="str">
            <v>71ITNW30403</v>
          </cell>
        </row>
        <row r="65">
          <cell r="B65">
            <v>7</v>
          </cell>
          <cell r="C65">
            <v>3</v>
          </cell>
          <cell r="D65" t="str">
            <v>71ITSE31003</v>
          </cell>
        </row>
        <row r="66">
          <cell r="B66">
            <v>8</v>
          </cell>
          <cell r="C66">
            <v>3</v>
          </cell>
          <cell r="D66" t="str">
            <v>71SUDE10012</v>
          </cell>
        </row>
        <row r="67">
          <cell r="B67">
            <v>8</v>
          </cell>
          <cell r="C67">
            <v>3</v>
          </cell>
          <cell r="D67" t="str">
            <v>71POLS10032</v>
          </cell>
        </row>
        <row r="68">
          <cell r="C68" t="str">
            <v>Chuyên ngành CNPM</v>
          </cell>
        </row>
        <row r="69">
          <cell r="B69">
            <v>8</v>
          </cell>
          <cell r="C69">
            <v>3</v>
          </cell>
          <cell r="D69" t="str">
            <v>71ITSE41403</v>
          </cell>
        </row>
        <row r="70">
          <cell r="B70">
            <v>8</v>
          </cell>
          <cell r="C70">
            <v>3</v>
          </cell>
          <cell r="D70" t="str">
            <v>71ITSE41303</v>
          </cell>
        </row>
        <row r="71">
          <cell r="B71">
            <v>8</v>
          </cell>
          <cell r="C71">
            <v>3</v>
          </cell>
          <cell r="D71" t="str">
            <v>71ITSE30603</v>
          </cell>
        </row>
        <row r="72">
          <cell r="C72" t="str">
            <v>Chuyên ngành CNDL</v>
          </cell>
        </row>
        <row r="73">
          <cell r="B73">
            <v>8</v>
          </cell>
          <cell r="C73">
            <v>3</v>
          </cell>
          <cell r="D73" t="str">
            <v>71ITDS40403</v>
          </cell>
        </row>
        <row r="74">
          <cell r="B74">
            <v>8</v>
          </cell>
          <cell r="C74">
            <v>3</v>
          </cell>
          <cell r="D74" t="str">
            <v>71ITAI40903</v>
          </cell>
        </row>
        <row r="75">
          <cell r="B75">
            <v>8</v>
          </cell>
          <cell r="C75">
            <v>3</v>
          </cell>
          <cell r="D75" t="str">
            <v>71ITDS40503</v>
          </cell>
        </row>
        <row r="76">
          <cell r="C76" t="str">
            <v>Chọn 1 trong các môn sau</v>
          </cell>
        </row>
        <row r="77">
          <cell r="B77">
            <v>8</v>
          </cell>
          <cell r="C77">
            <v>3</v>
          </cell>
          <cell r="D77" t="str">
            <v>71ITSE31903</v>
          </cell>
        </row>
        <row r="78">
          <cell r="B78">
            <v>8</v>
          </cell>
          <cell r="C78">
            <v>3</v>
          </cell>
          <cell r="D78" t="str">
            <v>71ITIS30503</v>
          </cell>
        </row>
        <row r="79">
          <cell r="B79">
            <v>8</v>
          </cell>
          <cell r="C79">
            <v>3</v>
          </cell>
          <cell r="D79" t="str">
            <v>71ITSE41503</v>
          </cell>
        </row>
        <row r="80">
          <cell r="B80">
            <v>8</v>
          </cell>
          <cell r="C80">
            <v>3</v>
          </cell>
          <cell r="D80" t="str">
            <v>71ITSE30703</v>
          </cell>
        </row>
        <row r="81">
          <cell r="B81">
            <v>8</v>
          </cell>
          <cell r="C81">
            <v>3</v>
          </cell>
          <cell r="D81" t="str">
            <v>71ITSE30803</v>
          </cell>
        </row>
        <row r="82">
          <cell r="B82">
            <v>8</v>
          </cell>
          <cell r="C82">
            <v>3</v>
          </cell>
          <cell r="D82" t="str">
            <v>71ITSE41603</v>
          </cell>
        </row>
        <row r="83">
          <cell r="B83">
            <v>9</v>
          </cell>
          <cell r="C83">
            <v>3</v>
          </cell>
          <cell r="D83" t="str">
            <v>71POLC10052</v>
          </cell>
        </row>
        <row r="84">
          <cell r="B84">
            <v>9</v>
          </cell>
          <cell r="C84">
            <v>3</v>
          </cell>
          <cell r="D84" t="str">
            <v>71POLH10042</v>
          </cell>
        </row>
        <row r="85">
          <cell r="B85">
            <v>9</v>
          </cell>
          <cell r="C85">
            <v>3</v>
          </cell>
          <cell r="D85" t="str">
            <v>71ITIN40304</v>
          </cell>
        </row>
        <row r="86">
          <cell r="B86">
            <v>10</v>
          </cell>
          <cell r="C86">
            <v>4</v>
          </cell>
          <cell r="D86" t="str">
            <v>71LAWG10012</v>
          </cell>
        </row>
        <row r="87">
          <cell r="B87">
            <v>10</v>
          </cell>
          <cell r="C87">
            <v>4</v>
          </cell>
          <cell r="D87" t="str">
            <v>71ITGR40206</v>
          </cell>
        </row>
        <row r="88">
          <cell r="B88">
            <v>10</v>
          </cell>
          <cell r="C88">
            <v>4</v>
          </cell>
          <cell r="D88" t="str">
            <v>71ITGR40203</v>
          </cell>
        </row>
        <row r="89">
          <cell r="B89">
            <v>10</v>
          </cell>
          <cell r="C89">
            <v>4</v>
          </cell>
          <cell r="D89" t="str">
            <v>71ITGR40303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 hoach giảng dạy CNT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iHinhTruong"/>
      <sheetName val="DM_KhoiNganh"/>
      <sheetName val="DM_NhomNganhDaoTao"/>
      <sheetName val="DM_NganhDT"/>
      <sheetName val="DM_TrangThaiSV"/>
      <sheetName val="HinhThucDaotao"/>
      <sheetName val="Bậc học"/>
      <sheetName val="LoaiTotNghiep"/>
      <sheetName val="DM_KhuyetTat"/>
      <sheetName val="DM_MienGiamHocPhi"/>
      <sheetName val="DM_NhomMau"/>
      <sheetName val="DM_Vung"/>
      <sheetName val="ChucVu"/>
      <sheetName val="DM_TrangThaiCB"/>
      <sheetName val="DM_NHOM_CAN_BO"/>
      <sheetName val="LoaiCanBo"/>
      <sheetName val="ViTriLamViec"/>
      <sheetName val="HinhThucTuyenDung"/>
      <sheetName val="HinhThucHopDong"/>
      <sheetName val="HocHam"/>
      <sheetName val="TrinhDoDaoTao"/>
      <sheetName val="LoaiChungChi"/>
      <sheetName val="LyDoThoiHoc"/>
      <sheetName val="NgheNghiep"/>
      <sheetName val="NguoiKy"/>
      <sheetName val="ThiDuaKhenThuong"/>
      <sheetName val="TinhTrangSucKhoe"/>
      <sheetName val="BacGiangday"/>
      <sheetName val="Chucdanhnghenghiep"/>
      <sheetName val="DM_QuocGia"/>
      <sheetName val="DanToc"/>
      <sheetName val="TonGiao"/>
      <sheetName val="DM_TinhThanhPho"/>
      <sheetName val="DM_QuanHuyen"/>
      <sheetName val="DM_XaPhuong"/>
      <sheetName val="DM_KhuVuc"/>
      <sheetName val="LoaiTruo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FC56-916B-47B4-BC27-7161E4F322BF}">
  <dimension ref="A2:Y114"/>
  <sheetViews>
    <sheetView tabSelected="1" topLeftCell="A26" zoomScale="85" zoomScaleNormal="85" zoomScaleSheetLayoutView="85" workbookViewId="0">
      <selection activeCell="C41" sqref="C41"/>
    </sheetView>
  </sheetViews>
  <sheetFormatPr defaultColWidth="8.44140625" defaultRowHeight="14.4" x14ac:dyDescent="0.3"/>
  <cols>
    <col min="1" max="1" width="5.6640625" style="2" customWidth="1"/>
    <col min="2" max="2" width="14.44140625" style="2" customWidth="1"/>
    <col min="3" max="3" width="27" style="6" customWidth="1"/>
    <col min="4" max="4" width="26.33203125" style="6" hidden="1" customWidth="1"/>
    <col min="5" max="5" width="6.109375" style="2" customWidth="1"/>
    <col min="6" max="8" width="5.109375" style="2" customWidth="1"/>
    <col min="9" max="9" width="6.6640625" style="2" customWidth="1"/>
    <col min="10" max="10" width="12.33203125" style="4" customWidth="1"/>
    <col min="11" max="11" width="21" style="1" customWidth="1"/>
    <col min="12" max="12" width="39.77734375" style="5" customWidth="1"/>
    <col min="13" max="13" width="34.6640625" style="4" customWidth="1"/>
    <col min="14" max="14" width="16.109375" style="3" customWidth="1"/>
    <col min="15" max="15" width="17.5546875" style="1" customWidth="1"/>
    <col min="16" max="16" width="13.21875" style="1" customWidth="1"/>
    <col min="17" max="17" width="19" style="1" customWidth="1"/>
    <col min="18" max="19" width="9" style="1" customWidth="1"/>
    <col min="20" max="20" width="8.44140625" style="1"/>
    <col min="21" max="21" width="39.109375" style="2" customWidth="1"/>
    <col min="22" max="22" width="36" style="2" customWidth="1"/>
    <col min="23" max="16384" width="8.44140625" style="1"/>
  </cols>
  <sheetData>
    <row r="2" spans="1:22" ht="16.8" x14ac:dyDescent="0.3">
      <c r="A2" s="150" t="s">
        <v>370</v>
      </c>
      <c r="B2" s="1"/>
      <c r="C2" s="1"/>
      <c r="D2" s="6">
        <v>100</v>
      </c>
      <c r="E2" s="2">
        <v>126</v>
      </c>
      <c r="J2" s="1"/>
      <c r="L2" s="6"/>
      <c r="M2" s="2"/>
      <c r="N2" s="6"/>
      <c r="O2" s="148"/>
      <c r="P2" s="148"/>
      <c r="Q2" s="148"/>
    </row>
    <row r="3" spans="1:22" ht="16.8" x14ac:dyDescent="0.3">
      <c r="A3" s="150" t="s">
        <v>369</v>
      </c>
      <c r="B3" s="1"/>
      <c r="C3" s="1"/>
      <c r="D3" s="6">
        <f>(D2*E3)/E2</f>
        <v>14.285714285714286</v>
      </c>
      <c r="E3" s="2">
        <v>18</v>
      </c>
      <c r="J3" s="1"/>
      <c r="L3" s="6"/>
      <c r="M3" s="2"/>
      <c r="N3" s="6"/>
      <c r="O3" s="148"/>
      <c r="P3" s="148"/>
      <c r="Q3" s="148"/>
    </row>
    <row r="4" spans="1:22" x14ac:dyDescent="0.3">
      <c r="A4" s="1"/>
      <c r="B4" s="1"/>
      <c r="C4" s="1"/>
      <c r="J4" s="1"/>
      <c r="L4" s="6"/>
      <c r="M4" s="2"/>
      <c r="N4" s="6"/>
      <c r="O4" s="148"/>
      <c r="P4" s="148"/>
      <c r="Q4" s="148"/>
    </row>
    <row r="5" spans="1:22" ht="18.600000000000001" x14ac:dyDescent="0.3">
      <c r="A5" s="151" t="s">
        <v>368</v>
      </c>
      <c r="B5" s="1"/>
      <c r="C5" s="1"/>
      <c r="J5" s="1"/>
      <c r="L5" s="6"/>
      <c r="M5" s="2"/>
      <c r="N5" s="6"/>
      <c r="O5" s="148"/>
      <c r="P5" s="148"/>
      <c r="Q5" s="148"/>
    </row>
    <row r="6" spans="1:22" ht="18.600000000000001" x14ac:dyDescent="0.3">
      <c r="A6" s="151"/>
      <c r="B6" s="1"/>
      <c r="C6" s="1"/>
      <c r="J6" s="1"/>
      <c r="L6" s="6"/>
      <c r="M6" s="2"/>
      <c r="N6" s="6"/>
      <c r="O6" s="148"/>
      <c r="P6" s="148"/>
      <c r="Q6" s="148"/>
    </row>
    <row r="7" spans="1:22" ht="16.8" x14ac:dyDescent="0.3">
      <c r="A7" s="150" t="s">
        <v>367</v>
      </c>
      <c r="B7" s="1"/>
      <c r="C7" s="1"/>
      <c r="J7" s="1"/>
      <c r="L7" s="6"/>
      <c r="M7" s="2"/>
      <c r="N7" s="6"/>
      <c r="O7" s="148"/>
      <c r="P7" s="148"/>
      <c r="Q7" s="148"/>
    </row>
    <row r="8" spans="1:22" ht="16.2" thickBot="1" x14ac:dyDescent="0.35">
      <c r="A8" s="1"/>
      <c r="B8" s="1"/>
      <c r="C8" s="1"/>
      <c r="E8" s="149">
        <f>E10+E53</f>
        <v>126</v>
      </c>
      <c r="F8" s="1"/>
      <c r="G8" s="1"/>
      <c r="H8" s="1"/>
      <c r="I8" s="1"/>
      <c r="J8" s="1"/>
      <c r="L8" s="6"/>
      <c r="M8" s="2"/>
      <c r="N8" s="6"/>
      <c r="O8" s="148"/>
      <c r="P8" s="148"/>
      <c r="Q8" s="148"/>
    </row>
    <row r="9" spans="1:22" s="41" customFormat="1" ht="57" customHeight="1" x14ac:dyDescent="0.3">
      <c r="A9" s="147" t="s">
        <v>359</v>
      </c>
      <c r="B9" s="145" t="s">
        <v>366</v>
      </c>
      <c r="C9" s="145" t="s">
        <v>365</v>
      </c>
      <c r="D9" s="145" t="s">
        <v>364</v>
      </c>
      <c r="E9" s="146" t="s">
        <v>363</v>
      </c>
      <c r="F9" s="145" t="s">
        <v>362</v>
      </c>
      <c r="G9" s="145" t="s">
        <v>361</v>
      </c>
      <c r="H9" s="145" t="s">
        <v>360</v>
      </c>
      <c r="I9" s="145" t="s">
        <v>359</v>
      </c>
      <c r="J9" s="145" t="s">
        <v>358</v>
      </c>
      <c r="K9" s="145" t="s">
        <v>357</v>
      </c>
      <c r="L9" s="145" t="s">
        <v>356</v>
      </c>
      <c r="M9" s="145" t="s">
        <v>355</v>
      </c>
      <c r="N9" s="145" t="s">
        <v>354</v>
      </c>
      <c r="O9" s="144" t="s">
        <v>353</v>
      </c>
      <c r="P9" s="144" t="s">
        <v>352</v>
      </c>
      <c r="Q9" s="143" t="s">
        <v>351</v>
      </c>
      <c r="R9" s="142" t="s">
        <v>350</v>
      </c>
      <c r="S9" s="141" t="s">
        <v>349</v>
      </c>
    </row>
    <row r="10" spans="1:22" s="41" customFormat="1" ht="22.35" customHeight="1" x14ac:dyDescent="0.3">
      <c r="A10" s="140" t="s">
        <v>348</v>
      </c>
      <c r="B10" s="122"/>
      <c r="C10" s="122"/>
      <c r="D10" s="122"/>
      <c r="E10" s="123">
        <f>E11+E17+E23</f>
        <v>46</v>
      </c>
      <c r="F10" s="123" t="s">
        <v>73</v>
      </c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</row>
    <row r="11" spans="1:22" s="41" customFormat="1" ht="17.100000000000001" customHeight="1" x14ac:dyDescent="0.3">
      <c r="A11" s="139" t="s">
        <v>347</v>
      </c>
      <c r="B11" s="42"/>
      <c r="C11" s="42"/>
      <c r="D11" s="42"/>
      <c r="E11" s="43">
        <f>SUM(E12:E16)</f>
        <v>14</v>
      </c>
      <c r="F11" s="43" t="s">
        <v>73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</row>
    <row r="12" spans="1:22" ht="27.6" x14ac:dyDescent="0.3">
      <c r="A12" s="134">
        <f>COUNTA($B$12:B12)</f>
        <v>1</v>
      </c>
      <c r="B12" s="133" t="s">
        <v>346</v>
      </c>
      <c r="C12" s="130" t="s">
        <v>345</v>
      </c>
      <c r="D12" s="130" t="s">
        <v>344</v>
      </c>
      <c r="E12" s="133">
        <v>2</v>
      </c>
      <c r="F12" s="133">
        <v>30</v>
      </c>
      <c r="G12" s="133">
        <v>0</v>
      </c>
      <c r="H12" s="133">
        <v>0</v>
      </c>
      <c r="I12" s="133"/>
      <c r="J12" s="133" t="s">
        <v>19</v>
      </c>
      <c r="K12" s="132" t="s">
        <v>3</v>
      </c>
      <c r="L12" s="130" t="s">
        <v>54</v>
      </c>
      <c r="M12" s="131" t="s">
        <v>330</v>
      </c>
      <c r="N12" s="130"/>
      <c r="O12" s="138"/>
      <c r="P12" s="128" t="s">
        <v>343</v>
      </c>
      <c r="Q12" s="127" t="s">
        <v>342</v>
      </c>
      <c r="R12" s="126">
        <v>1</v>
      </c>
      <c r="S12" s="125">
        <v>3</v>
      </c>
    </row>
    <row r="13" spans="1:22" s="41" customFormat="1" ht="27.6" x14ac:dyDescent="0.3">
      <c r="A13" s="134">
        <f>COUNTA($B$12:B13)</f>
        <v>2</v>
      </c>
      <c r="B13" s="133" t="s">
        <v>341</v>
      </c>
      <c r="C13" s="130" t="s">
        <v>340</v>
      </c>
      <c r="D13" s="130"/>
      <c r="E13" s="133">
        <v>2</v>
      </c>
      <c r="F13" s="133">
        <v>30</v>
      </c>
      <c r="G13" s="133">
        <v>0</v>
      </c>
      <c r="H13" s="133">
        <v>0</v>
      </c>
      <c r="I13" s="133"/>
      <c r="J13" s="133" t="s">
        <v>19</v>
      </c>
      <c r="K13" s="132" t="s">
        <v>3</v>
      </c>
      <c r="L13" s="130" t="s">
        <v>54</v>
      </c>
      <c r="M13" s="131" t="s">
        <v>330</v>
      </c>
      <c r="N13" s="130"/>
      <c r="O13" s="138"/>
      <c r="P13" s="128">
        <v>200111302</v>
      </c>
      <c r="Q13" s="127" t="s">
        <v>339</v>
      </c>
      <c r="R13" s="126">
        <v>1</v>
      </c>
      <c r="S13" s="125">
        <v>3</v>
      </c>
      <c r="T13" s="1"/>
      <c r="U13" s="2"/>
      <c r="V13" s="2"/>
    </row>
    <row r="14" spans="1:22" s="41" customFormat="1" ht="27.6" x14ac:dyDescent="0.3">
      <c r="A14" s="134">
        <f>COUNTA($B$12:B14)</f>
        <v>3</v>
      </c>
      <c r="B14" s="133" t="s">
        <v>338</v>
      </c>
      <c r="C14" s="130" t="s">
        <v>337</v>
      </c>
      <c r="D14" s="130" t="s">
        <v>336</v>
      </c>
      <c r="E14" s="133">
        <v>4</v>
      </c>
      <c r="F14" s="133">
        <v>45</v>
      </c>
      <c r="G14" s="133">
        <v>30</v>
      </c>
      <c r="H14" s="133">
        <v>0</v>
      </c>
      <c r="I14" s="133"/>
      <c r="J14" s="133" t="s">
        <v>19</v>
      </c>
      <c r="K14" s="132" t="s">
        <v>3</v>
      </c>
      <c r="L14" s="130" t="s">
        <v>54</v>
      </c>
      <c r="M14" s="131" t="s">
        <v>330</v>
      </c>
      <c r="N14" s="130"/>
      <c r="O14" s="138"/>
      <c r="P14" s="126" t="s">
        <v>48</v>
      </c>
      <c r="Q14" s="127" t="s">
        <v>47</v>
      </c>
      <c r="R14" s="126">
        <v>2</v>
      </c>
      <c r="S14" s="125">
        <v>1</v>
      </c>
      <c r="T14" s="1"/>
      <c r="U14" s="2"/>
      <c r="V14" s="2"/>
    </row>
    <row r="15" spans="1:22" s="41" customFormat="1" ht="27.6" x14ac:dyDescent="0.3">
      <c r="A15" s="134">
        <f>COUNTA($B$12:B15)</f>
        <v>4</v>
      </c>
      <c r="B15" s="133" t="s">
        <v>335</v>
      </c>
      <c r="C15" s="130" t="s">
        <v>334</v>
      </c>
      <c r="D15" s="130" t="s">
        <v>333</v>
      </c>
      <c r="E15" s="133">
        <v>3</v>
      </c>
      <c r="F15" s="133">
        <v>30</v>
      </c>
      <c r="G15" s="133">
        <v>30</v>
      </c>
      <c r="H15" s="133">
        <v>0</v>
      </c>
      <c r="I15" s="133"/>
      <c r="J15" s="133" t="s">
        <v>19</v>
      </c>
      <c r="K15" s="132" t="s">
        <v>3</v>
      </c>
      <c r="L15" s="130" t="s">
        <v>54</v>
      </c>
      <c r="M15" s="131" t="s">
        <v>330</v>
      </c>
      <c r="N15" s="130"/>
      <c r="O15" s="138"/>
      <c r="P15" s="126" t="s">
        <v>48</v>
      </c>
      <c r="Q15" s="127" t="s">
        <v>47</v>
      </c>
      <c r="R15" s="126">
        <v>3</v>
      </c>
      <c r="S15" s="125">
        <v>1</v>
      </c>
      <c r="T15" s="1"/>
      <c r="U15" s="2"/>
      <c r="V15" s="2"/>
    </row>
    <row r="16" spans="1:22" s="41" customFormat="1" ht="27.6" x14ac:dyDescent="0.3">
      <c r="A16" s="134">
        <f>COUNTA($B$12:B16)</f>
        <v>5</v>
      </c>
      <c r="B16" s="133" t="s">
        <v>332</v>
      </c>
      <c r="C16" s="130" t="s">
        <v>331</v>
      </c>
      <c r="D16" s="130"/>
      <c r="E16" s="133">
        <v>3</v>
      </c>
      <c r="F16" s="133">
        <v>45</v>
      </c>
      <c r="G16" s="133">
        <v>0</v>
      </c>
      <c r="H16" s="133">
        <v>0</v>
      </c>
      <c r="I16" s="133"/>
      <c r="J16" s="133" t="s">
        <v>19</v>
      </c>
      <c r="K16" s="132" t="s">
        <v>3</v>
      </c>
      <c r="L16" s="130" t="s">
        <v>3</v>
      </c>
      <c r="M16" s="131" t="s">
        <v>330</v>
      </c>
      <c r="N16" s="130"/>
      <c r="O16" s="138"/>
      <c r="P16" s="128" t="s">
        <v>329</v>
      </c>
      <c r="Q16" s="127" t="s">
        <v>328</v>
      </c>
      <c r="R16" s="126">
        <v>1</v>
      </c>
      <c r="S16" s="125">
        <v>1</v>
      </c>
      <c r="T16" s="1"/>
      <c r="U16" s="2"/>
      <c r="V16" s="2"/>
    </row>
    <row r="17" spans="1:22" s="41" customFormat="1" ht="17.399999999999999" customHeight="1" x14ac:dyDescent="0.3">
      <c r="A17" s="44" t="s">
        <v>327</v>
      </c>
      <c r="B17" s="42"/>
      <c r="C17" s="42"/>
      <c r="D17" s="42"/>
      <c r="E17" s="43">
        <f>SUM(E18:E22)</f>
        <v>11</v>
      </c>
      <c r="F17" s="43" t="s">
        <v>73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U17" s="2"/>
      <c r="V17" s="2"/>
    </row>
    <row r="18" spans="1:22" ht="27.6" x14ac:dyDescent="0.3">
      <c r="A18" s="134">
        <f>COUNTA($B$12:B18)</f>
        <v>6</v>
      </c>
      <c r="B18" s="133" t="s">
        <v>326</v>
      </c>
      <c r="C18" s="130" t="s">
        <v>325</v>
      </c>
      <c r="D18" s="130" t="s">
        <v>324</v>
      </c>
      <c r="E18" s="133">
        <v>3</v>
      </c>
      <c r="F18" s="133">
        <v>45</v>
      </c>
      <c r="G18" s="133">
        <v>0</v>
      </c>
      <c r="H18" s="133">
        <v>0</v>
      </c>
      <c r="I18" s="133"/>
      <c r="J18" s="133" t="s">
        <v>19</v>
      </c>
      <c r="K18" s="132" t="s">
        <v>3</v>
      </c>
      <c r="L18" s="130" t="s">
        <v>3</v>
      </c>
      <c r="M18" s="131" t="s">
        <v>305</v>
      </c>
      <c r="N18" s="130"/>
      <c r="O18" s="138"/>
      <c r="P18" s="128" t="s">
        <v>314</v>
      </c>
      <c r="Q18" s="127" t="s">
        <v>313</v>
      </c>
      <c r="R18" s="126">
        <v>2</v>
      </c>
      <c r="S18" s="125">
        <v>1</v>
      </c>
    </row>
    <row r="19" spans="1:22" ht="27.6" x14ac:dyDescent="0.3">
      <c r="A19" s="134">
        <f>COUNTA($B$12:B19)</f>
        <v>7</v>
      </c>
      <c r="B19" s="133" t="s">
        <v>323</v>
      </c>
      <c r="C19" s="130" t="s">
        <v>322</v>
      </c>
      <c r="D19" s="130" t="s">
        <v>321</v>
      </c>
      <c r="E19" s="133">
        <v>2</v>
      </c>
      <c r="F19" s="133">
        <v>30</v>
      </c>
      <c r="G19" s="133">
        <v>0</v>
      </c>
      <c r="H19" s="133">
        <v>0</v>
      </c>
      <c r="I19" s="133"/>
      <c r="J19" s="133" t="s">
        <v>19</v>
      </c>
      <c r="K19" s="132" t="s">
        <v>3</v>
      </c>
      <c r="L19" s="130" t="s">
        <v>315</v>
      </c>
      <c r="M19" s="131" t="s">
        <v>305</v>
      </c>
      <c r="N19" s="130"/>
      <c r="O19" s="138"/>
      <c r="P19" s="128" t="s">
        <v>320</v>
      </c>
      <c r="Q19" s="127" t="s">
        <v>319</v>
      </c>
      <c r="R19" s="126">
        <v>3</v>
      </c>
      <c r="S19" s="125">
        <v>1</v>
      </c>
    </row>
    <row r="20" spans="1:22" ht="27.6" x14ac:dyDescent="0.3">
      <c r="A20" s="134">
        <f>COUNTA($B$12:B20)</f>
        <v>8</v>
      </c>
      <c r="B20" s="133" t="s">
        <v>318</v>
      </c>
      <c r="C20" s="130" t="s">
        <v>317</v>
      </c>
      <c r="D20" s="130" t="s">
        <v>316</v>
      </c>
      <c r="E20" s="133">
        <v>2</v>
      </c>
      <c r="F20" s="133">
        <v>30</v>
      </c>
      <c r="G20" s="133">
        <v>0</v>
      </c>
      <c r="H20" s="133">
        <v>0</v>
      </c>
      <c r="I20" s="133"/>
      <c r="J20" s="133" t="s">
        <v>19</v>
      </c>
      <c r="K20" s="132" t="s">
        <v>3</v>
      </c>
      <c r="L20" s="130" t="s">
        <v>315</v>
      </c>
      <c r="M20" s="131" t="s">
        <v>305</v>
      </c>
      <c r="N20" s="130"/>
      <c r="O20" s="138"/>
      <c r="P20" s="128" t="s">
        <v>314</v>
      </c>
      <c r="Q20" s="127" t="s">
        <v>313</v>
      </c>
      <c r="R20" s="126">
        <v>1</v>
      </c>
      <c r="S20" s="125">
        <v>2</v>
      </c>
    </row>
    <row r="21" spans="1:22" ht="27.6" x14ac:dyDescent="0.3">
      <c r="A21" s="134">
        <f>COUNTA($B$12:B21)</f>
        <v>9</v>
      </c>
      <c r="B21" s="133" t="s">
        <v>312</v>
      </c>
      <c r="C21" s="130" t="s">
        <v>311</v>
      </c>
      <c r="D21" s="130" t="s">
        <v>310</v>
      </c>
      <c r="E21" s="133">
        <v>2</v>
      </c>
      <c r="F21" s="133">
        <v>30</v>
      </c>
      <c r="G21" s="133">
        <v>0</v>
      </c>
      <c r="H21" s="133">
        <v>0</v>
      </c>
      <c r="I21" s="133"/>
      <c r="J21" s="133" t="s">
        <v>19</v>
      </c>
      <c r="K21" s="132" t="s">
        <v>3</v>
      </c>
      <c r="L21" s="130" t="s">
        <v>306</v>
      </c>
      <c r="M21" s="131" t="s">
        <v>305</v>
      </c>
      <c r="N21" s="130"/>
      <c r="O21" s="138"/>
      <c r="P21" s="128" t="s">
        <v>304</v>
      </c>
      <c r="Q21" s="127" t="s">
        <v>303</v>
      </c>
      <c r="R21" s="126">
        <v>2</v>
      </c>
      <c r="S21" s="125">
        <v>2</v>
      </c>
    </row>
    <row r="22" spans="1:22" ht="27.6" x14ac:dyDescent="0.3">
      <c r="A22" s="134">
        <f>COUNTA($B$12:B22)</f>
        <v>10</v>
      </c>
      <c r="B22" s="133" t="s">
        <v>309</v>
      </c>
      <c r="C22" s="130" t="s">
        <v>308</v>
      </c>
      <c r="D22" s="130" t="s">
        <v>307</v>
      </c>
      <c r="E22" s="133">
        <v>2</v>
      </c>
      <c r="F22" s="133">
        <v>30</v>
      </c>
      <c r="G22" s="133">
        <v>0</v>
      </c>
      <c r="H22" s="133">
        <v>0</v>
      </c>
      <c r="I22" s="133"/>
      <c r="J22" s="133" t="s">
        <v>19</v>
      </c>
      <c r="K22" s="132" t="s">
        <v>3</v>
      </c>
      <c r="L22" s="130" t="s">
        <v>306</v>
      </c>
      <c r="M22" s="131" t="s">
        <v>305</v>
      </c>
      <c r="N22" s="130"/>
      <c r="O22" s="138"/>
      <c r="P22" s="128" t="s">
        <v>304</v>
      </c>
      <c r="Q22" s="127" t="s">
        <v>303</v>
      </c>
      <c r="R22" s="126">
        <v>3</v>
      </c>
      <c r="S22" s="125">
        <v>2</v>
      </c>
    </row>
    <row r="23" spans="1:22" s="41" customFormat="1" ht="17.399999999999999" customHeight="1" x14ac:dyDescent="0.3">
      <c r="A23" s="44" t="s">
        <v>302</v>
      </c>
      <c r="B23" s="42"/>
      <c r="C23" s="42"/>
      <c r="D23" s="42"/>
      <c r="E23" s="43">
        <f>SUM(E24:E30)</f>
        <v>21</v>
      </c>
      <c r="F23" s="43" t="s">
        <v>73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U23" s="2"/>
      <c r="V23" s="2"/>
    </row>
    <row r="24" spans="1:22" ht="27.6" x14ac:dyDescent="0.3">
      <c r="A24" s="134">
        <f>COUNTA($B$12:B24)</f>
        <v>11</v>
      </c>
      <c r="B24" s="133" t="s">
        <v>301</v>
      </c>
      <c r="C24" s="130" t="s">
        <v>300</v>
      </c>
      <c r="D24" s="130" t="s">
        <v>299</v>
      </c>
      <c r="E24" s="133">
        <v>3</v>
      </c>
      <c r="F24" s="133">
        <v>30</v>
      </c>
      <c r="G24" s="133">
        <v>30</v>
      </c>
      <c r="H24" s="133">
        <v>0</v>
      </c>
      <c r="I24" s="133"/>
      <c r="J24" s="133" t="s">
        <v>19</v>
      </c>
      <c r="K24" s="132" t="s">
        <v>298</v>
      </c>
      <c r="L24" s="130" t="s">
        <v>54</v>
      </c>
      <c r="M24" s="131" t="s">
        <v>273</v>
      </c>
      <c r="N24" s="130"/>
      <c r="O24" s="138"/>
      <c r="P24" s="128">
        <v>200112601</v>
      </c>
      <c r="Q24" s="127" t="s">
        <v>272</v>
      </c>
      <c r="R24" s="126">
        <v>1</v>
      </c>
      <c r="S24" s="125">
        <v>1</v>
      </c>
    </row>
    <row r="25" spans="1:22" ht="27.6" x14ac:dyDescent="0.3">
      <c r="A25" s="134">
        <f>COUNTA($B$12:B25)</f>
        <v>12</v>
      </c>
      <c r="B25" s="133" t="s">
        <v>297</v>
      </c>
      <c r="C25" s="130" t="s">
        <v>296</v>
      </c>
      <c r="D25" s="130" t="s">
        <v>295</v>
      </c>
      <c r="E25" s="133">
        <v>3</v>
      </c>
      <c r="F25" s="133">
        <v>30</v>
      </c>
      <c r="G25" s="133">
        <v>30</v>
      </c>
      <c r="H25" s="133">
        <v>0</v>
      </c>
      <c r="I25" s="133"/>
      <c r="J25" s="133" t="s">
        <v>19</v>
      </c>
      <c r="K25" s="132" t="s">
        <v>294</v>
      </c>
      <c r="L25" s="130" t="s">
        <v>54</v>
      </c>
      <c r="M25" s="131" t="s">
        <v>273</v>
      </c>
      <c r="N25" s="130"/>
      <c r="O25" s="138"/>
      <c r="P25" s="128">
        <v>200112601</v>
      </c>
      <c r="Q25" s="127" t="s">
        <v>272</v>
      </c>
      <c r="R25" s="126">
        <v>2</v>
      </c>
      <c r="S25" s="125">
        <v>1</v>
      </c>
    </row>
    <row r="26" spans="1:22" ht="27.6" x14ac:dyDescent="0.3">
      <c r="A26" s="134">
        <f>COUNTA($B$12:B26)</f>
        <v>13</v>
      </c>
      <c r="B26" s="133" t="s">
        <v>293</v>
      </c>
      <c r="C26" s="130" t="s">
        <v>292</v>
      </c>
      <c r="D26" s="130" t="s">
        <v>291</v>
      </c>
      <c r="E26" s="133">
        <v>3</v>
      </c>
      <c r="F26" s="133">
        <v>30</v>
      </c>
      <c r="G26" s="133">
        <v>30</v>
      </c>
      <c r="H26" s="133">
        <v>0</v>
      </c>
      <c r="I26" s="133"/>
      <c r="J26" s="133" t="s">
        <v>19</v>
      </c>
      <c r="K26" s="132" t="s">
        <v>290</v>
      </c>
      <c r="L26" s="130" t="s">
        <v>54</v>
      </c>
      <c r="M26" s="131" t="s">
        <v>273</v>
      </c>
      <c r="N26" s="130"/>
      <c r="O26" s="138"/>
      <c r="P26" s="128">
        <v>200112601</v>
      </c>
      <c r="Q26" s="127" t="s">
        <v>272</v>
      </c>
      <c r="R26" s="126">
        <v>3</v>
      </c>
      <c r="S26" s="125">
        <v>1</v>
      </c>
    </row>
    <row r="27" spans="1:22" ht="27.6" x14ac:dyDescent="0.3">
      <c r="A27" s="134">
        <f>COUNTA($B$12:B27)</f>
        <v>14</v>
      </c>
      <c r="B27" s="133" t="s">
        <v>289</v>
      </c>
      <c r="C27" s="130" t="s">
        <v>288</v>
      </c>
      <c r="D27" s="130" t="s">
        <v>287</v>
      </c>
      <c r="E27" s="133">
        <v>3</v>
      </c>
      <c r="F27" s="133">
        <v>30</v>
      </c>
      <c r="G27" s="133">
        <v>30</v>
      </c>
      <c r="H27" s="133">
        <v>0</v>
      </c>
      <c r="I27" s="133"/>
      <c r="J27" s="133" t="s">
        <v>19</v>
      </c>
      <c r="K27" s="132" t="s">
        <v>286</v>
      </c>
      <c r="L27" s="130" t="s">
        <v>54</v>
      </c>
      <c r="M27" s="131" t="s">
        <v>273</v>
      </c>
      <c r="N27" s="130"/>
      <c r="O27" s="138"/>
      <c r="P27" s="128">
        <v>200112601</v>
      </c>
      <c r="Q27" s="127" t="s">
        <v>272</v>
      </c>
      <c r="R27" s="126">
        <v>1</v>
      </c>
      <c r="S27" s="125">
        <v>2</v>
      </c>
    </row>
    <row r="28" spans="1:22" ht="27.6" x14ac:dyDescent="0.3">
      <c r="A28" s="134">
        <f>COUNTA($B$12:B28)</f>
        <v>15</v>
      </c>
      <c r="B28" s="133" t="s">
        <v>285</v>
      </c>
      <c r="C28" s="130" t="s">
        <v>284</v>
      </c>
      <c r="D28" s="130" t="s">
        <v>283</v>
      </c>
      <c r="E28" s="133">
        <v>3</v>
      </c>
      <c r="F28" s="133">
        <v>30</v>
      </c>
      <c r="G28" s="133">
        <v>30</v>
      </c>
      <c r="H28" s="133">
        <v>0</v>
      </c>
      <c r="I28" s="133"/>
      <c r="J28" s="133" t="s">
        <v>19</v>
      </c>
      <c r="K28" s="132" t="s">
        <v>282</v>
      </c>
      <c r="L28" s="130" t="s">
        <v>54</v>
      </c>
      <c r="M28" s="131" t="s">
        <v>273</v>
      </c>
      <c r="N28" s="130"/>
      <c r="O28" s="138"/>
      <c r="P28" s="128">
        <v>200112601</v>
      </c>
      <c r="Q28" s="127" t="s">
        <v>272</v>
      </c>
      <c r="R28" s="126">
        <v>2</v>
      </c>
      <c r="S28" s="125">
        <v>2</v>
      </c>
    </row>
    <row r="29" spans="1:22" ht="27.6" x14ac:dyDescent="0.3">
      <c r="A29" s="134">
        <f>COUNTA($B$12:B29)</f>
        <v>16</v>
      </c>
      <c r="B29" s="133" t="s">
        <v>281</v>
      </c>
      <c r="C29" s="130" t="s">
        <v>280</v>
      </c>
      <c r="D29" s="130" t="s">
        <v>279</v>
      </c>
      <c r="E29" s="133">
        <v>3</v>
      </c>
      <c r="F29" s="133">
        <v>45</v>
      </c>
      <c r="G29" s="133">
        <v>0</v>
      </c>
      <c r="H29" s="133">
        <v>0</v>
      </c>
      <c r="I29" s="133"/>
      <c r="J29" s="133" t="s">
        <v>19</v>
      </c>
      <c r="K29" s="132" t="s">
        <v>278</v>
      </c>
      <c r="L29" s="130" t="s">
        <v>54</v>
      </c>
      <c r="M29" s="131" t="s">
        <v>273</v>
      </c>
      <c r="N29" s="130"/>
      <c r="O29" s="138"/>
      <c r="P29" s="128">
        <v>200112601</v>
      </c>
      <c r="Q29" s="127" t="s">
        <v>272</v>
      </c>
      <c r="R29" s="126">
        <v>3</v>
      </c>
      <c r="S29" s="125">
        <v>2</v>
      </c>
    </row>
    <row r="30" spans="1:22" ht="27.6" x14ac:dyDescent="0.3">
      <c r="A30" s="134">
        <f>COUNTA($B$12:B30)</f>
        <v>17</v>
      </c>
      <c r="B30" s="133" t="s">
        <v>277</v>
      </c>
      <c r="C30" s="130" t="s">
        <v>276</v>
      </c>
      <c r="D30" s="130" t="s">
        <v>275</v>
      </c>
      <c r="E30" s="133">
        <v>3</v>
      </c>
      <c r="F30" s="133">
        <v>45</v>
      </c>
      <c r="G30" s="133">
        <v>0</v>
      </c>
      <c r="H30" s="133">
        <v>0</v>
      </c>
      <c r="I30" s="133"/>
      <c r="J30" s="133" t="s">
        <v>19</v>
      </c>
      <c r="K30" s="132" t="s">
        <v>274</v>
      </c>
      <c r="L30" s="130" t="s">
        <v>54</v>
      </c>
      <c r="M30" s="131" t="s">
        <v>273</v>
      </c>
      <c r="N30" s="130"/>
      <c r="O30" s="138"/>
      <c r="P30" s="128">
        <v>200112601</v>
      </c>
      <c r="Q30" s="127" t="s">
        <v>272</v>
      </c>
      <c r="R30" s="126">
        <v>1</v>
      </c>
      <c r="S30" s="125">
        <v>3</v>
      </c>
    </row>
    <row r="31" spans="1:22" s="41" customFormat="1" ht="17.100000000000001" customHeight="1" x14ac:dyDescent="0.3">
      <c r="A31" s="137" t="s">
        <v>271</v>
      </c>
      <c r="B31" s="42"/>
      <c r="C31" s="42"/>
      <c r="D31" s="42"/>
      <c r="E31" s="43">
        <f>4+SUM(E49:E52)</f>
        <v>15</v>
      </c>
      <c r="F31" s="136" t="s">
        <v>270</v>
      </c>
      <c r="G31" s="135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U31" s="2"/>
      <c r="V31" s="2"/>
    </row>
    <row r="32" spans="1:22" s="47" customFormat="1" ht="27.6" x14ac:dyDescent="0.3">
      <c r="A32" s="134">
        <f>COUNTA($B$12:B32)</f>
        <v>18</v>
      </c>
      <c r="B32" s="133" t="s">
        <v>269</v>
      </c>
      <c r="C32" s="130" t="s">
        <v>268</v>
      </c>
      <c r="D32" s="130"/>
      <c r="E32" s="133">
        <v>2</v>
      </c>
      <c r="F32" s="133">
        <v>45</v>
      </c>
      <c r="G32" s="133">
        <v>60</v>
      </c>
      <c r="H32" s="133">
        <v>0</v>
      </c>
      <c r="I32" s="133"/>
      <c r="J32" s="133" t="s">
        <v>263</v>
      </c>
      <c r="K32" s="132" t="s">
        <v>3</v>
      </c>
      <c r="L32" s="130" t="s">
        <v>3</v>
      </c>
      <c r="M32" s="131" t="s">
        <v>223</v>
      </c>
      <c r="N32" s="130"/>
      <c r="O32" s="129"/>
      <c r="P32" s="128">
        <v>200113501</v>
      </c>
      <c r="Q32" s="127" t="s">
        <v>232</v>
      </c>
      <c r="R32" s="126">
        <v>2</v>
      </c>
      <c r="S32" s="125">
        <v>1</v>
      </c>
      <c r="T32" s="1"/>
      <c r="U32" s="2"/>
      <c r="V32" s="2"/>
    </row>
    <row r="33" spans="1:22" s="47" customFormat="1" ht="27.6" x14ac:dyDescent="0.3">
      <c r="A33" s="134">
        <f>COUNTA($B$12:B33)</f>
        <v>19</v>
      </c>
      <c r="B33" s="133" t="s">
        <v>267</v>
      </c>
      <c r="C33" s="130" t="s">
        <v>266</v>
      </c>
      <c r="D33" s="130"/>
      <c r="E33" s="133">
        <v>2</v>
      </c>
      <c r="F33" s="133">
        <v>45</v>
      </c>
      <c r="G33" s="133">
        <v>60</v>
      </c>
      <c r="H33" s="133">
        <v>0</v>
      </c>
      <c r="I33" s="133"/>
      <c r="J33" s="133" t="s">
        <v>263</v>
      </c>
      <c r="K33" s="132" t="s">
        <v>3</v>
      </c>
      <c r="L33" s="130" t="s">
        <v>3</v>
      </c>
      <c r="M33" s="131" t="s">
        <v>223</v>
      </c>
      <c r="N33" s="130"/>
      <c r="O33" s="129"/>
      <c r="P33" s="128">
        <v>200113501</v>
      </c>
      <c r="Q33" s="127" t="s">
        <v>232</v>
      </c>
      <c r="R33" s="126">
        <v>2</v>
      </c>
      <c r="S33" s="125">
        <v>1</v>
      </c>
      <c r="T33" s="1"/>
      <c r="U33" s="2"/>
      <c r="V33" s="2"/>
    </row>
    <row r="34" spans="1:22" s="47" customFormat="1" ht="27.6" x14ac:dyDescent="0.3">
      <c r="A34" s="134">
        <f>COUNTA($B$12:B34)</f>
        <v>20</v>
      </c>
      <c r="B34" s="133" t="s">
        <v>265</v>
      </c>
      <c r="C34" s="130" t="s">
        <v>264</v>
      </c>
      <c r="D34" s="130"/>
      <c r="E34" s="133">
        <v>2</v>
      </c>
      <c r="F34" s="133">
        <v>45</v>
      </c>
      <c r="G34" s="133">
        <v>8</v>
      </c>
      <c r="H34" s="133">
        <v>0</v>
      </c>
      <c r="I34" s="133"/>
      <c r="J34" s="133" t="s">
        <v>263</v>
      </c>
      <c r="K34" s="132" t="s">
        <v>3</v>
      </c>
      <c r="L34" s="130" t="s">
        <v>3</v>
      </c>
      <c r="M34" s="131" t="s">
        <v>223</v>
      </c>
      <c r="N34" s="130"/>
      <c r="O34" s="129"/>
      <c r="P34" s="128">
        <v>200113501</v>
      </c>
      <c r="Q34" s="127" t="s">
        <v>232</v>
      </c>
      <c r="R34" s="126">
        <v>2</v>
      </c>
      <c r="S34" s="125">
        <v>1</v>
      </c>
      <c r="T34" s="1"/>
      <c r="U34" s="2"/>
      <c r="V34" s="2"/>
    </row>
    <row r="35" spans="1:22" s="47" customFormat="1" ht="27.6" x14ac:dyDescent="0.3">
      <c r="A35" s="134">
        <f>COUNTA($B$12:B35)</f>
        <v>21</v>
      </c>
      <c r="B35" s="133" t="s">
        <v>262</v>
      </c>
      <c r="C35" s="130" t="s">
        <v>261</v>
      </c>
      <c r="D35" s="130"/>
      <c r="E35" s="133">
        <v>2</v>
      </c>
      <c r="F35" s="133">
        <v>45</v>
      </c>
      <c r="G35" s="133">
        <v>8</v>
      </c>
      <c r="H35" s="133">
        <v>0</v>
      </c>
      <c r="I35" s="133"/>
      <c r="J35" s="133" t="s">
        <v>233</v>
      </c>
      <c r="K35" s="132" t="s">
        <v>3</v>
      </c>
      <c r="L35" s="130" t="s">
        <v>260</v>
      </c>
      <c r="M35" s="131" t="s">
        <v>223</v>
      </c>
      <c r="N35" s="130"/>
      <c r="O35" s="129"/>
      <c r="P35" s="128">
        <v>200113501</v>
      </c>
      <c r="Q35" s="127" t="s">
        <v>232</v>
      </c>
      <c r="R35" s="126">
        <v>3</v>
      </c>
      <c r="S35" s="125">
        <v>1</v>
      </c>
      <c r="T35" s="1"/>
      <c r="U35" s="2"/>
      <c r="V35" s="2"/>
    </row>
    <row r="36" spans="1:22" s="47" customFormat="1" ht="27.6" x14ac:dyDescent="0.3">
      <c r="A36" s="134">
        <f>COUNTA($B$12:B36)</f>
        <v>22</v>
      </c>
      <c r="B36" s="133" t="s">
        <v>259</v>
      </c>
      <c r="C36" s="130" t="s">
        <v>258</v>
      </c>
      <c r="D36" s="130"/>
      <c r="E36" s="133">
        <v>2</v>
      </c>
      <c r="F36" s="133">
        <v>45</v>
      </c>
      <c r="G36" s="133">
        <v>16</v>
      </c>
      <c r="H36" s="133">
        <v>0</v>
      </c>
      <c r="I36" s="133"/>
      <c r="J36" s="133" t="s">
        <v>233</v>
      </c>
      <c r="K36" s="132" t="s">
        <v>3</v>
      </c>
      <c r="L36" s="130" t="s">
        <v>3</v>
      </c>
      <c r="M36" s="131" t="s">
        <v>223</v>
      </c>
      <c r="N36" s="130"/>
      <c r="O36" s="129"/>
      <c r="P36" s="128">
        <v>200113501</v>
      </c>
      <c r="Q36" s="127" t="s">
        <v>232</v>
      </c>
      <c r="R36" s="126">
        <v>3</v>
      </c>
      <c r="S36" s="125">
        <v>1</v>
      </c>
      <c r="T36" s="1"/>
      <c r="U36" s="2"/>
      <c r="V36" s="2"/>
    </row>
    <row r="37" spans="1:22" s="47" customFormat="1" ht="27.6" x14ac:dyDescent="0.3">
      <c r="A37" s="134">
        <f>COUNTA($B$12:B37)</f>
        <v>23</v>
      </c>
      <c r="B37" s="133" t="s">
        <v>257</v>
      </c>
      <c r="C37" s="130" t="s">
        <v>256</v>
      </c>
      <c r="D37" s="130"/>
      <c r="E37" s="133">
        <v>2</v>
      </c>
      <c r="F37" s="133">
        <v>45</v>
      </c>
      <c r="G37" s="133"/>
      <c r="H37" s="133"/>
      <c r="I37" s="133"/>
      <c r="J37" s="133" t="s">
        <v>233</v>
      </c>
      <c r="K37" s="132" t="s">
        <v>3</v>
      </c>
      <c r="L37" s="130" t="s">
        <v>3</v>
      </c>
      <c r="M37" s="131" t="s">
        <v>223</v>
      </c>
      <c r="N37" s="130"/>
      <c r="O37" s="129"/>
      <c r="P37" s="128">
        <v>200113501</v>
      </c>
      <c r="Q37" s="127" t="s">
        <v>232</v>
      </c>
      <c r="R37" s="126">
        <v>3</v>
      </c>
      <c r="S37" s="125">
        <v>1</v>
      </c>
      <c r="T37" s="1"/>
      <c r="U37" s="2"/>
      <c r="V37" s="2"/>
    </row>
    <row r="38" spans="1:22" s="47" customFormat="1" ht="27.6" x14ac:dyDescent="0.3">
      <c r="A38" s="134">
        <f>COUNTA($B$12:B38)</f>
        <v>24</v>
      </c>
      <c r="B38" s="133" t="s">
        <v>255</v>
      </c>
      <c r="C38" s="130" t="s">
        <v>254</v>
      </c>
      <c r="D38" s="130"/>
      <c r="E38" s="133">
        <v>2</v>
      </c>
      <c r="F38" s="133">
        <v>45</v>
      </c>
      <c r="G38" s="133"/>
      <c r="H38" s="133"/>
      <c r="I38" s="133"/>
      <c r="J38" s="133" t="s">
        <v>233</v>
      </c>
      <c r="K38" s="132" t="s">
        <v>3</v>
      </c>
      <c r="L38" s="130" t="s">
        <v>3</v>
      </c>
      <c r="M38" s="131" t="s">
        <v>223</v>
      </c>
      <c r="N38" s="130"/>
      <c r="O38" s="129"/>
      <c r="P38" s="128">
        <v>200113501</v>
      </c>
      <c r="Q38" s="127" t="s">
        <v>232</v>
      </c>
      <c r="R38" s="126">
        <v>3</v>
      </c>
      <c r="S38" s="125">
        <v>1</v>
      </c>
      <c r="T38" s="1"/>
      <c r="U38" s="2"/>
      <c r="V38" s="2"/>
    </row>
    <row r="39" spans="1:22" s="47" customFormat="1" ht="27.6" x14ac:dyDescent="0.3">
      <c r="A39" s="134">
        <f>COUNTA($B$12:B39)</f>
        <v>25</v>
      </c>
      <c r="B39" s="133" t="s">
        <v>253</v>
      </c>
      <c r="C39" s="130" t="s">
        <v>252</v>
      </c>
      <c r="D39" s="130"/>
      <c r="E39" s="133">
        <v>2</v>
      </c>
      <c r="F39" s="133">
        <v>45</v>
      </c>
      <c r="G39" s="133"/>
      <c r="H39" s="133"/>
      <c r="I39" s="133"/>
      <c r="J39" s="133" t="s">
        <v>233</v>
      </c>
      <c r="K39" s="132" t="s">
        <v>3</v>
      </c>
      <c r="L39" s="130" t="s">
        <v>3</v>
      </c>
      <c r="M39" s="131" t="s">
        <v>223</v>
      </c>
      <c r="N39" s="130"/>
      <c r="O39" s="129"/>
      <c r="P39" s="128">
        <v>200113501</v>
      </c>
      <c r="Q39" s="127" t="s">
        <v>232</v>
      </c>
      <c r="R39" s="126">
        <v>3</v>
      </c>
      <c r="S39" s="125">
        <v>1</v>
      </c>
      <c r="T39" s="1"/>
      <c r="U39" s="2"/>
      <c r="V39" s="2"/>
    </row>
    <row r="40" spans="1:22" s="47" customFormat="1" ht="27.6" x14ac:dyDescent="0.3">
      <c r="A40" s="134">
        <f>COUNTA($B$12:B40)</f>
        <v>26</v>
      </c>
      <c r="B40" s="133" t="s">
        <v>251</v>
      </c>
      <c r="C40" s="130" t="s">
        <v>250</v>
      </c>
      <c r="D40" s="130"/>
      <c r="E40" s="133">
        <v>2</v>
      </c>
      <c r="F40" s="133">
        <v>45</v>
      </c>
      <c r="G40" s="133"/>
      <c r="H40" s="133"/>
      <c r="I40" s="133"/>
      <c r="J40" s="133" t="s">
        <v>233</v>
      </c>
      <c r="K40" s="132" t="s">
        <v>3</v>
      </c>
      <c r="L40" s="130" t="s">
        <v>3</v>
      </c>
      <c r="M40" s="131" t="s">
        <v>223</v>
      </c>
      <c r="N40" s="130"/>
      <c r="O40" s="129"/>
      <c r="P40" s="128">
        <v>200113501</v>
      </c>
      <c r="Q40" s="127" t="s">
        <v>232</v>
      </c>
      <c r="R40" s="126">
        <v>3</v>
      </c>
      <c r="S40" s="125">
        <v>1</v>
      </c>
      <c r="T40" s="1"/>
      <c r="U40" s="2"/>
      <c r="V40" s="2"/>
    </row>
    <row r="41" spans="1:22" s="47" customFormat="1" ht="27.6" x14ac:dyDescent="0.3">
      <c r="A41" s="134">
        <f>COUNTA($B$12:B41)</f>
        <v>27</v>
      </c>
      <c r="B41" s="133" t="s">
        <v>249</v>
      </c>
      <c r="C41" s="130" t="s">
        <v>248</v>
      </c>
      <c r="D41" s="130"/>
      <c r="E41" s="133">
        <v>2</v>
      </c>
      <c r="F41" s="133">
        <v>45</v>
      </c>
      <c r="G41" s="133"/>
      <c r="H41" s="133"/>
      <c r="I41" s="133"/>
      <c r="J41" s="133" t="s">
        <v>233</v>
      </c>
      <c r="K41" s="132" t="s">
        <v>3</v>
      </c>
      <c r="L41" s="130" t="s">
        <v>3</v>
      </c>
      <c r="M41" s="131" t="s">
        <v>223</v>
      </c>
      <c r="N41" s="130"/>
      <c r="O41" s="129"/>
      <c r="P41" s="128">
        <v>200113501</v>
      </c>
      <c r="Q41" s="127" t="s">
        <v>232</v>
      </c>
      <c r="R41" s="126">
        <v>3</v>
      </c>
      <c r="S41" s="125">
        <v>1</v>
      </c>
      <c r="T41" s="1"/>
      <c r="U41" s="2"/>
      <c r="V41" s="2"/>
    </row>
    <row r="42" spans="1:22" s="47" customFormat="1" ht="27.6" x14ac:dyDescent="0.3">
      <c r="A42" s="134">
        <f>COUNTA($B$12:B42)</f>
        <v>28</v>
      </c>
      <c r="B42" s="133" t="s">
        <v>247</v>
      </c>
      <c r="C42" s="130" t="s">
        <v>246</v>
      </c>
      <c r="D42" s="130"/>
      <c r="E42" s="133">
        <v>2</v>
      </c>
      <c r="F42" s="133">
        <v>45</v>
      </c>
      <c r="G42" s="133"/>
      <c r="H42" s="133"/>
      <c r="I42" s="133"/>
      <c r="J42" s="133" t="s">
        <v>233</v>
      </c>
      <c r="K42" s="132" t="s">
        <v>3</v>
      </c>
      <c r="L42" s="130" t="s">
        <v>3</v>
      </c>
      <c r="M42" s="131" t="s">
        <v>223</v>
      </c>
      <c r="N42" s="130"/>
      <c r="O42" s="129"/>
      <c r="P42" s="128">
        <v>200113501</v>
      </c>
      <c r="Q42" s="127" t="s">
        <v>232</v>
      </c>
      <c r="R42" s="126">
        <v>3</v>
      </c>
      <c r="S42" s="125">
        <v>1</v>
      </c>
      <c r="T42" s="1"/>
      <c r="U42" s="2"/>
      <c r="V42" s="2"/>
    </row>
    <row r="43" spans="1:22" s="47" customFormat="1" ht="27.6" x14ac:dyDescent="0.3">
      <c r="A43" s="134">
        <f>COUNTA($B$12:B43)</f>
        <v>29</v>
      </c>
      <c r="B43" s="133" t="s">
        <v>245</v>
      </c>
      <c r="C43" s="130" t="s">
        <v>244</v>
      </c>
      <c r="D43" s="130"/>
      <c r="E43" s="133">
        <v>2</v>
      </c>
      <c r="F43" s="133">
        <v>45</v>
      </c>
      <c r="G43" s="133"/>
      <c r="H43" s="133"/>
      <c r="I43" s="133"/>
      <c r="J43" s="133" t="s">
        <v>233</v>
      </c>
      <c r="K43" s="132" t="s">
        <v>3</v>
      </c>
      <c r="L43" s="130" t="s">
        <v>3</v>
      </c>
      <c r="M43" s="131" t="s">
        <v>223</v>
      </c>
      <c r="N43" s="130"/>
      <c r="O43" s="129"/>
      <c r="P43" s="128">
        <v>200113501</v>
      </c>
      <c r="Q43" s="127" t="s">
        <v>232</v>
      </c>
      <c r="R43" s="126">
        <v>3</v>
      </c>
      <c r="S43" s="125">
        <v>1</v>
      </c>
      <c r="T43" s="1"/>
      <c r="U43" s="2"/>
      <c r="V43" s="2"/>
    </row>
    <row r="44" spans="1:22" s="47" customFormat="1" ht="27.6" x14ac:dyDescent="0.3">
      <c r="A44" s="134">
        <f>COUNTA($B$12:B44)</f>
        <v>30</v>
      </c>
      <c r="B44" s="133" t="s">
        <v>243</v>
      </c>
      <c r="C44" s="130" t="s">
        <v>242</v>
      </c>
      <c r="D44" s="130"/>
      <c r="E44" s="133">
        <v>2</v>
      </c>
      <c r="F44" s="133">
        <v>45</v>
      </c>
      <c r="G44" s="133"/>
      <c r="H44" s="133"/>
      <c r="I44" s="133"/>
      <c r="J44" s="133" t="s">
        <v>233</v>
      </c>
      <c r="K44" s="132" t="s">
        <v>3</v>
      </c>
      <c r="L44" s="130" t="s">
        <v>3</v>
      </c>
      <c r="M44" s="131" t="s">
        <v>223</v>
      </c>
      <c r="N44" s="130"/>
      <c r="O44" s="129"/>
      <c r="P44" s="128">
        <v>200113501</v>
      </c>
      <c r="Q44" s="127" t="s">
        <v>232</v>
      </c>
      <c r="R44" s="126">
        <v>3</v>
      </c>
      <c r="S44" s="125">
        <v>1</v>
      </c>
      <c r="T44" s="1"/>
      <c r="U44" s="2"/>
      <c r="V44" s="2"/>
    </row>
    <row r="45" spans="1:22" s="47" customFormat="1" ht="27.6" x14ac:dyDescent="0.3">
      <c r="A45" s="134">
        <f>COUNTA($B$12:B45)</f>
        <v>31</v>
      </c>
      <c r="B45" s="133" t="s">
        <v>241</v>
      </c>
      <c r="C45" s="130" t="s">
        <v>240</v>
      </c>
      <c r="D45" s="130"/>
      <c r="E45" s="133">
        <v>2</v>
      </c>
      <c r="F45" s="133">
        <v>45</v>
      </c>
      <c r="G45" s="133"/>
      <c r="H45" s="133"/>
      <c r="I45" s="133"/>
      <c r="J45" s="133" t="s">
        <v>233</v>
      </c>
      <c r="K45" s="132" t="s">
        <v>3</v>
      </c>
      <c r="L45" s="130" t="s">
        <v>3</v>
      </c>
      <c r="M45" s="131" t="s">
        <v>223</v>
      </c>
      <c r="N45" s="130"/>
      <c r="O45" s="129"/>
      <c r="P45" s="128">
        <v>200113501</v>
      </c>
      <c r="Q45" s="127" t="s">
        <v>232</v>
      </c>
      <c r="R45" s="126">
        <v>3</v>
      </c>
      <c r="S45" s="125">
        <v>1</v>
      </c>
      <c r="T45" s="1"/>
      <c r="U45" s="2"/>
      <c r="V45" s="2"/>
    </row>
    <row r="46" spans="1:22" s="47" customFormat="1" ht="27.6" x14ac:dyDescent="0.3">
      <c r="A46" s="134">
        <f>COUNTA($B$12:B46)</f>
        <v>32</v>
      </c>
      <c r="B46" s="133" t="s">
        <v>239</v>
      </c>
      <c r="C46" s="130" t="s">
        <v>238</v>
      </c>
      <c r="D46" s="130"/>
      <c r="E46" s="133">
        <v>2</v>
      </c>
      <c r="F46" s="133">
        <v>45</v>
      </c>
      <c r="G46" s="133"/>
      <c r="H46" s="133"/>
      <c r="I46" s="133"/>
      <c r="J46" s="133" t="s">
        <v>233</v>
      </c>
      <c r="K46" s="132" t="s">
        <v>3</v>
      </c>
      <c r="L46" s="130" t="s">
        <v>3</v>
      </c>
      <c r="M46" s="131" t="s">
        <v>223</v>
      </c>
      <c r="N46" s="130"/>
      <c r="O46" s="129"/>
      <c r="P46" s="128">
        <v>200113501</v>
      </c>
      <c r="Q46" s="127" t="s">
        <v>232</v>
      </c>
      <c r="R46" s="126">
        <v>3</v>
      </c>
      <c r="S46" s="125">
        <v>1</v>
      </c>
      <c r="T46" s="1"/>
      <c r="U46" s="2"/>
      <c r="V46" s="2"/>
    </row>
    <row r="47" spans="1:22" s="47" customFormat="1" ht="27.6" x14ac:dyDescent="0.3">
      <c r="A47" s="134">
        <f>COUNTA($B$12:B47)</f>
        <v>33</v>
      </c>
      <c r="B47" s="133" t="s">
        <v>237</v>
      </c>
      <c r="C47" s="130" t="s">
        <v>236</v>
      </c>
      <c r="D47" s="130"/>
      <c r="E47" s="133">
        <v>2</v>
      </c>
      <c r="F47" s="133">
        <v>45</v>
      </c>
      <c r="G47" s="133"/>
      <c r="H47" s="133"/>
      <c r="I47" s="133"/>
      <c r="J47" s="133" t="s">
        <v>233</v>
      </c>
      <c r="K47" s="132" t="s">
        <v>3</v>
      </c>
      <c r="L47" s="130" t="s">
        <v>3</v>
      </c>
      <c r="M47" s="131" t="s">
        <v>223</v>
      </c>
      <c r="N47" s="130"/>
      <c r="O47" s="129"/>
      <c r="P47" s="128">
        <v>200113501</v>
      </c>
      <c r="Q47" s="127" t="s">
        <v>232</v>
      </c>
      <c r="R47" s="126">
        <v>3</v>
      </c>
      <c r="S47" s="125">
        <v>1</v>
      </c>
      <c r="T47" s="1"/>
      <c r="U47" s="2"/>
      <c r="V47" s="2"/>
    </row>
    <row r="48" spans="1:22" s="47" customFormat="1" ht="27.6" x14ac:dyDescent="0.3">
      <c r="A48" s="134">
        <f>COUNTA($B$12:B48)</f>
        <v>34</v>
      </c>
      <c r="B48" s="133" t="s">
        <v>235</v>
      </c>
      <c r="C48" s="130" t="s">
        <v>234</v>
      </c>
      <c r="D48" s="130"/>
      <c r="E48" s="133">
        <v>2</v>
      </c>
      <c r="F48" s="133">
        <v>45</v>
      </c>
      <c r="G48" s="133"/>
      <c r="H48" s="133"/>
      <c r="I48" s="133"/>
      <c r="J48" s="133" t="s">
        <v>233</v>
      </c>
      <c r="K48" s="132" t="s">
        <v>3</v>
      </c>
      <c r="L48" s="130" t="s">
        <v>3</v>
      </c>
      <c r="M48" s="131" t="s">
        <v>223</v>
      </c>
      <c r="N48" s="130"/>
      <c r="O48" s="129"/>
      <c r="P48" s="128">
        <v>200113501</v>
      </c>
      <c r="Q48" s="127" t="s">
        <v>232</v>
      </c>
      <c r="R48" s="126">
        <v>3</v>
      </c>
      <c r="S48" s="125">
        <v>1</v>
      </c>
      <c r="T48" s="1"/>
      <c r="U48" s="2"/>
      <c r="V48" s="2"/>
    </row>
    <row r="49" spans="1:24" s="47" customFormat="1" ht="27.6" x14ac:dyDescent="0.3">
      <c r="A49" s="134">
        <f>COUNTA($B$12:B49)</f>
        <v>35</v>
      </c>
      <c r="B49" s="133" t="s">
        <v>231</v>
      </c>
      <c r="C49" s="130" t="s">
        <v>230</v>
      </c>
      <c r="D49" s="130"/>
      <c r="E49" s="133">
        <v>3</v>
      </c>
      <c r="F49" s="133"/>
      <c r="G49" s="133"/>
      <c r="H49" s="133"/>
      <c r="I49" s="133"/>
      <c r="J49" s="133" t="s">
        <v>19</v>
      </c>
      <c r="K49" s="132"/>
      <c r="L49" s="130"/>
      <c r="M49" s="131" t="s">
        <v>223</v>
      </c>
      <c r="N49" s="130"/>
      <c r="O49" s="129"/>
      <c r="P49" s="128">
        <v>200113301</v>
      </c>
      <c r="Q49" s="127" t="s">
        <v>222</v>
      </c>
      <c r="R49" s="126">
        <v>1</v>
      </c>
      <c r="S49" s="125">
        <v>1</v>
      </c>
      <c r="T49" s="1"/>
      <c r="U49" s="2"/>
      <c r="V49" s="2"/>
    </row>
    <row r="50" spans="1:24" s="47" customFormat="1" ht="27.6" x14ac:dyDescent="0.3">
      <c r="A50" s="134">
        <f>COUNTA($B$12:B50)</f>
        <v>36</v>
      </c>
      <c r="B50" s="133" t="s">
        <v>229</v>
      </c>
      <c r="C50" s="130" t="s">
        <v>228</v>
      </c>
      <c r="D50" s="130"/>
      <c r="E50" s="133">
        <v>2</v>
      </c>
      <c r="F50" s="133"/>
      <c r="G50" s="133"/>
      <c r="H50" s="133"/>
      <c r="I50" s="133"/>
      <c r="J50" s="133" t="s">
        <v>19</v>
      </c>
      <c r="K50" s="132"/>
      <c r="L50" s="130"/>
      <c r="M50" s="131" t="s">
        <v>223</v>
      </c>
      <c r="N50" s="130"/>
      <c r="O50" s="129"/>
      <c r="P50" s="128">
        <v>200113301</v>
      </c>
      <c r="Q50" s="127" t="s">
        <v>222</v>
      </c>
      <c r="R50" s="126">
        <v>1</v>
      </c>
      <c r="S50" s="125">
        <v>1</v>
      </c>
      <c r="T50" s="1"/>
      <c r="U50" s="2"/>
      <c r="V50" s="2"/>
    </row>
    <row r="51" spans="1:24" s="47" customFormat="1" ht="27.6" x14ac:dyDescent="0.3">
      <c r="A51" s="134">
        <f>COUNTA($B$12:B51)</f>
        <v>37</v>
      </c>
      <c r="B51" s="133" t="s">
        <v>227</v>
      </c>
      <c r="C51" s="130" t="s">
        <v>226</v>
      </c>
      <c r="D51" s="130"/>
      <c r="E51" s="133">
        <v>2</v>
      </c>
      <c r="F51" s="133"/>
      <c r="G51" s="133"/>
      <c r="H51" s="133"/>
      <c r="I51" s="133"/>
      <c r="J51" s="133" t="s">
        <v>19</v>
      </c>
      <c r="K51" s="132"/>
      <c r="L51" s="130"/>
      <c r="M51" s="131" t="s">
        <v>223</v>
      </c>
      <c r="N51" s="130"/>
      <c r="O51" s="129"/>
      <c r="P51" s="128">
        <v>200113301</v>
      </c>
      <c r="Q51" s="127" t="s">
        <v>222</v>
      </c>
      <c r="R51" s="126">
        <v>1</v>
      </c>
      <c r="S51" s="125">
        <v>1</v>
      </c>
      <c r="T51" s="1"/>
      <c r="U51" s="2"/>
      <c r="V51" s="2"/>
    </row>
    <row r="52" spans="1:24" s="47" customFormat="1" ht="27.6" x14ac:dyDescent="0.3">
      <c r="A52" s="134">
        <f>COUNTA($B$12:B52)</f>
        <v>38</v>
      </c>
      <c r="B52" s="133" t="s">
        <v>225</v>
      </c>
      <c r="C52" s="130" t="s">
        <v>224</v>
      </c>
      <c r="D52" s="130"/>
      <c r="E52" s="133">
        <v>4</v>
      </c>
      <c r="F52" s="133"/>
      <c r="G52" s="133"/>
      <c r="H52" s="133"/>
      <c r="I52" s="133"/>
      <c r="J52" s="133" t="s">
        <v>19</v>
      </c>
      <c r="K52" s="132"/>
      <c r="L52" s="130"/>
      <c r="M52" s="131" t="s">
        <v>223</v>
      </c>
      <c r="N52" s="130"/>
      <c r="O52" s="129"/>
      <c r="P52" s="128">
        <v>200113301</v>
      </c>
      <c r="Q52" s="127" t="s">
        <v>222</v>
      </c>
      <c r="R52" s="126">
        <v>1</v>
      </c>
      <c r="S52" s="125">
        <v>1</v>
      </c>
      <c r="T52" s="1"/>
      <c r="U52" s="2"/>
      <c r="V52" s="2"/>
    </row>
    <row r="53" spans="1:24" s="41" customFormat="1" ht="22.35" customHeight="1" x14ac:dyDescent="0.3">
      <c r="A53" s="124" t="s">
        <v>221</v>
      </c>
      <c r="B53" s="122"/>
      <c r="C53" s="122"/>
      <c r="D53" s="122"/>
      <c r="E53" s="123">
        <f>SUM(E54,E63,E75,E108,E110)</f>
        <v>80</v>
      </c>
      <c r="F53" s="123" t="s">
        <v>73</v>
      </c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U53" s="2"/>
      <c r="V53" s="2"/>
    </row>
    <row r="54" spans="1:24" s="41" customFormat="1" ht="22.35" customHeight="1" x14ac:dyDescent="0.3">
      <c r="A54" s="44" t="s">
        <v>220</v>
      </c>
      <c r="B54" s="42"/>
      <c r="C54" s="42"/>
      <c r="D54" s="42"/>
      <c r="E54" s="43">
        <f>SUM(E55:E62)</f>
        <v>25</v>
      </c>
      <c r="F54" s="43" t="s">
        <v>73</v>
      </c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U54" s="2"/>
      <c r="V54" s="2"/>
    </row>
    <row r="55" spans="1:24" s="47" customFormat="1" ht="27.6" x14ac:dyDescent="0.3">
      <c r="A55" s="121">
        <v>1</v>
      </c>
      <c r="B55" s="120" t="s">
        <v>219</v>
      </c>
      <c r="C55" s="117" t="s">
        <v>218</v>
      </c>
      <c r="D55" s="117" t="s">
        <v>217</v>
      </c>
      <c r="E55" s="120">
        <v>3</v>
      </c>
      <c r="F55" s="120">
        <v>30</v>
      </c>
      <c r="G55" s="120">
        <v>30</v>
      </c>
      <c r="H55" s="120">
        <v>0</v>
      </c>
      <c r="I55" s="120">
        <v>0</v>
      </c>
      <c r="J55" s="120" t="s">
        <v>19</v>
      </c>
      <c r="K55" s="119" t="s">
        <v>91</v>
      </c>
      <c r="L55" s="117" t="s">
        <v>3</v>
      </c>
      <c r="M55" s="118" t="s">
        <v>193</v>
      </c>
      <c r="N55" s="117"/>
      <c r="O55" s="116"/>
      <c r="P55" s="115">
        <v>200113301</v>
      </c>
      <c r="Q55" s="114" t="s">
        <v>24</v>
      </c>
      <c r="R55" s="113">
        <v>1</v>
      </c>
      <c r="S55" s="112">
        <v>1</v>
      </c>
      <c r="T55" s="1"/>
      <c r="U55" s="2"/>
      <c r="V55" s="2"/>
    </row>
    <row r="56" spans="1:24" s="47" customFormat="1" ht="27.6" x14ac:dyDescent="0.3">
      <c r="A56" s="121">
        <v>2</v>
      </c>
      <c r="B56" s="120" t="s">
        <v>216</v>
      </c>
      <c r="C56" s="117" t="s">
        <v>215</v>
      </c>
      <c r="D56" s="117" t="s">
        <v>214</v>
      </c>
      <c r="E56" s="120">
        <v>3</v>
      </c>
      <c r="F56" s="120">
        <v>30</v>
      </c>
      <c r="G56" s="120">
        <v>30</v>
      </c>
      <c r="H56" s="120">
        <v>0</v>
      </c>
      <c r="I56" s="120">
        <v>0</v>
      </c>
      <c r="J56" s="120" t="s">
        <v>19</v>
      </c>
      <c r="K56" s="119" t="s">
        <v>91</v>
      </c>
      <c r="L56" s="117" t="s">
        <v>3</v>
      </c>
      <c r="M56" s="118" t="s">
        <v>193</v>
      </c>
      <c r="N56" s="117"/>
      <c r="O56" s="116"/>
      <c r="P56" s="115">
        <v>200113301</v>
      </c>
      <c r="Q56" s="114" t="s">
        <v>24</v>
      </c>
      <c r="R56" s="113">
        <v>1</v>
      </c>
      <c r="S56" s="112">
        <v>1</v>
      </c>
      <c r="T56" s="1"/>
      <c r="U56" s="2"/>
      <c r="V56" s="2"/>
    </row>
    <row r="57" spans="1:24" s="47" customFormat="1" ht="27.6" x14ac:dyDescent="0.3">
      <c r="A57" s="121">
        <v>3</v>
      </c>
      <c r="B57" s="120" t="s">
        <v>213</v>
      </c>
      <c r="C57" s="117" t="s">
        <v>212</v>
      </c>
      <c r="D57" s="117" t="s">
        <v>211</v>
      </c>
      <c r="E57" s="120">
        <v>3</v>
      </c>
      <c r="F57" s="120">
        <v>30</v>
      </c>
      <c r="G57" s="120">
        <v>30</v>
      </c>
      <c r="H57" s="120">
        <v>0</v>
      </c>
      <c r="I57" s="120">
        <v>0</v>
      </c>
      <c r="J57" s="120" t="s">
        <v>19</v>
      </c>
      <c r="K57" s="119" t="s">
        <v>91</v>
      </c>
      <c r="L57" s="117" t="s">
        <v>3</v>
      </c>
      <c r="M57" s="118" t="s">
        <v>193</v>
      </c>
      <c r="N57" s="117"/>
      <c r="O57" s="116"/>
      <c r="P57" s="115">
        <v>200113301</v>
      </c>
      <c r="Q57" s="114" t="s">
        <v>24</v>
      </c>
      <c r="R57" s="113">
        <v>3</v>
      </c>
      <c r="S57" s="112">
        <v>1</v>
      </c>
      <c r="U57" s="2"/>
      <c r="V57" s="2"/>
      <c r="W57" s="1"/>
      <c r="X57" s="1"/>
    </row>
    <row r="58" spans="1:24" s="47" customFormat="1" ht="41.4" x14ac:dyDescent="0.3">
      <c r="A58" s="121">
        <v>4</v>
      </c>
      <c r="B58" s="120" t="s">
        <v>210</v>
      </c>
      <c r="C58" s="117" t="s">
        <v>209</v>
      </c>
      <c r="D58" s="117" t="s">
        <v>208</v>
      </c>
      <c r="E58" s="120">
        <v>3</v>
      </c>
      <c r="F58" s="120">
        <v>30</v>
      </c>
      <c r="G58" s="120">
        <v>30</v>
      </c>
      <c r="H58" s="120">
        <v>0</v>
      </c>
      <c r="I58" s="120">
        <v>0</v>
      </c>
      <c r="J58" s="120" t="s">
        <v>19</v>
      </c>
      <c r="K58" s="119" t="s">
        <v>91</v>
      </c>
      <c r="L58" s="117" t="s">
        <v>3</v>
      </c>
      <c r="M58" s="118" t="s">
        <v>193</v>
      </c>
      <c r="N58" s="117"/>
      <c r="O58" s="116"/>
      <c r="P58" s="115" t="s">
        <v>53</v>
      </c>
      <c r="Q58" s="114" t="s">
        <v>52</v>
      </c>
      <c r="R58" s="113">
        <v>2</v>
      </c>
      <c r="S58" s="112">
        <v>1</v>
      </c>
      <c r="U58" s="2"/>
      <c r="V58" s="2"/>
      <c r="W58" s="1"/>
      <c r="X58" s="1"/>
    </row>
    <row r="59" spans="1:24" s="47" customFormat="1" ht="27.6" x14ac:dyDescent="0.3">
      <c r="A59" s="121">
        <v>5</v>
      </c>
      <c r="B59" s="120" t="s">
        <v>207</v>
      </c>
      <c r="C59" s="117" t="s">
        <v>206</v>
      </c>
      <c r="D59" s="117" t="s">
        <v>205</v>
      </c>
      <c r="E59" s="120">
        <v>3</v>
      </c>
      <c r="F59" s="120">
        <v>30</v>
      </c>
      <c r="G59" s="120">
        <v>30</v>
      </c>
      <c r="H59" s="120">
        <v>0</v>
      </c>
      <c r="I59" s="120">
        <v>0</v>
      </c>
      <c r="J59" s="120" t="s">
        <v>19</v>
      </c>
      <c r="K59" s="119" t="s">
        <v>91</v>
      </c>
      <c r="L59" s="117" t="s">
        <v>65</v>
      </c>
      <c r="M59" s="118" t="s">
        <v>193</v>
      </c>
      <c r="N59" s="117"/>
      <c r="O59" s="116"/>
      <c r="P59" s="115" t="s">
        <v>48</v>
      </c>
      <c r="Q59" s="114" t="s">
        <v>47</v>
      </c>
      <c r="R59" s="113">
        <v>3</v>
      </c>
      <c r="S59" s="112">
        <v>1</v>
      </c>
      <c r="U59" s="2"/>
      <c r="V59" s="2"/>
      <c r="W59" s="1"/>
      <c r="X59" s="1"/>
    </row>
    <row r="60" spans="1:24" s="47" customFormat="1" ht="27.6" x14ac:dyDescent="0.3">
      <c r="A60" s="121">
        <v>6</v>
      </c>
      <c r="B60" s="120" t="s">
        <v>204</v>
      </c>
      <c r="C60" s="117" t="s">
        <v>203</v>
      </c>
      <c r="D60" s="117" t="s">
        <v>202</v>
      </c>
      <c r="E60" s="120">
        <v>4</v>
      </c>
      <c r="F60" s="120">
        <v>45</v>
      </c>
      <c r="G60" s="120">
        <v>30</v>
      </c>
      <c r="H60" s="120">
        <v>0</v>
      </c>
      <c r="I60" s="120">
        <v>0</v>
      </c>
      <c r="J60" s="120" t="s">
        <v>19</v>
      </c>
      <c r="K60" s="119" t="s">
        <v>91</v>
      </c>
      <c r="L60" s="117" t="s">
        <v>201</v>
      </c>
      <c r="M60" s="118" t="s">
        <v>193</v>
      </c>
      <c r="N60" s="117"/>
      <c r="O60" s="116" t="s">
        <v>200</v>
      </c>
      <c r="P60" s="115" t="s">
        <v>48</v>
      </c>
      <c r="Q60" s="114" t="s">
        <v>47</v>
      </c>
      <c r="R60" s="113">
        <v>1</v>
      </c>
      <c r="S60" s="112">
        <v>2</v>
      </c>
      <c r="T60" s="1"/>
      <c r="U60" s="2"/>
      <c r="V60" s="2"/>
    </row>
    <row r="61" spans="1:24" s="47" customFormat="1" ht="27.6" x14ac:dyDescent="0.3">
      <c r="A61" s="121">
        <v>7</v>
      </c>
      <c r="B61" s="120" t="s">
        <v>199</v>
      </c>
      <c r="C61" s="117" t="s">
        <v>198</v>
      </c>
      <c r="D61" s="117" t="s">
        <v>197</v>
      </c>
      <c r="E61" s="120">
        <v>3</v>
      </c>
      <c r="F61" s="120">
        <v>30</v>
      </c>
      <c r="G61" s="120">
        <v>30</v>
      </c>
      <c r="H61" s="120">
        <v>0</v>
      </c>
      <c r="I61" s="120">
        <v>0</v>
      </c>
      <c r="J61" s="120" t="s">
        <v>19</v>
      </c>
      <c r="K61" s="119" t="s">
        <v>91</v>
      </c>
      <c r="L61" s="117" t="s">
        <v>65</v>
      </c>
      <c r="M61" s="118" t="s">
        <v>193</v>
      </c>
      <c r="N61" s="117"/>
      <c r="O61" s="116"/>
      <c r="P61" s="115" t="s">
        <v>38</v>
      </c>
      <c r="Q61" s="114" t="s">
        <v>37</v>
      </c>
      <c r="R61" s="113">
        <v>2</v>
      </c>
      <c r="S61" s="112">
        <v>1</v>
      </c>
      <c r="U61" s="2"/>
      <c r="V61" s="2"/>
      <c r="W61" s="1"/>
      <c r="X61" s="1"/>
    </row>
    <row r="62" spans="1:24" ht="27.6" x14ac:dyDescent="0.3">
      <c r="A62" s="121">
        <v>8</v>
      </c>
      <c r="B62" s="120" t="s">
        <v>196</v>
      </c>
      <c r="C62" s="117" t="s">
        <v>195</v>
      </c>
      <c r="D62" s="117" t="s">
        <v>194</v>
      </c>
      <c r="E62" s="120">
        <v>3</v>
      </c>
      <c r="F62" s="120">
        <v>30</v>
      </c>
      <c r="G62" s="120">
        <v>30</v>
      </c>
      <c r="H62" s="120">
        <v>0</v>
      </c>
      <c r="I62" s="120">
        <v>0</v>
      </c>
      <c r="J62" s="120" t="s">
        <v>19</v>
      </c>
      <c r="K62" s="119" t="s">
        <v>91</v>
      </c>
      <c r="L62" s="117" t="s">
        <v>65</v>
      </c>
      <c r="M62" s="118" t="s">
        <v>193</v>
      </c>
      <c r="N62" s="117"/>
      <c r="O62" s="116" t="s">
        <v>192</v>
      </c>
      <c r="P62" s="115" t="s">
        <v>48</v>
      </c>
      <c r="Q62" s="114" t="s">
        <v>47</v>
      </c>
      <c r="R62" s="113">
        <v>3</v>
      </c>
      <c r="S62" s="112">
        <v>1</v>
      </c>
    </row>
    <row r="63" spans="1:24" s="41" customFormat="1" ht="20.100000000000001" customHeight="1" x14ac:dyDescent="0.3">
      <c r="A63" s="44" t="s">
        <v>191</v>
      </c>
      <c r="B63" s="42"/>
      <c r="C63" s="42"/>
      <c r="D63" s="42"/>
      <c r="E63" s="43">
        <f>SUM(E64:E67)+6</f>
        <v>18</v>
      </c>
      <c r="F63" s="43" t="s">
        <v>73</v>
      </c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U63" s="2"/>
      <c r="V63" s="2"/>
    </row>
    <row r="64" spans="1:24" s="47" customFormat="1" ht="27.6" x14ac:dyDescent="0.3">
      <c r="A64" s="109">
        <v>1</v>
      </c>
      <c r="B64" s="107" t="s">
        <v>190</v>
      </c>
      <c r="C64" s="108" t="s">
        <v>189</v>
      </c>
      <c r="D64" s="104" t="s">
        <v>188</v>
      </c>
      <c r="E64" s="107">
        <v>3</v>
      </c>
      <c r="F64" s="107">
        <v>30</v>
      </c>
      <c r="G64" s="107">
        <v>30</v>
      </c>
      <c r="H64" s="107">
        <v>0</v>
      </c>
      <c r="I64" s="107">
        <v>0</v>
      </c>
      <c r="J64" s="107" t="s">
        <v>19</v>
      </c>
      <c r="K64" s="106" t="s">
        <v>91</v>
      </c>
      <c r="L64" s="105" t="s">
        <v>65</v>
      </c>
      <c r="M64" s="111" t="s">
        <v>148</v>
      </c>
      <c r="N64" s="105"/>
      <c r="O64" s="110"/>
      <c r="P64" s="102" t="s">
        <v>38</v>
      </c>
      <c r="Q64" s="101" t="s">
        <v>37</v>
      </c>
      <c r="R64" s="100">
        <v>1</v>
      </c>
      <c r="S64" s="99">
        <v>2</v>
      </c>
      <c r="U64" s="2"/>
      <c r="V64" s="2"/>
      <c r="W64" s="1"/>
      <c r="X64" s="1"/>
    </row>
    <row r="65" spans="1:24" s="47" customFormat="1" ht="27.6" x14ac:dyDescent="0.3">
      <c r="A65" s="109">
        <v>2</v>
      </c>
      <c r="B65" s="107" t="s">
        <v>187</v>
      </c>
      <c r="C65" s="108" t="s">
        <v>186</v>
      </c>
      <c r="D65" s="104" t="s">
        <v>185</v>
      </c>
      <c r="E65" s="107">
        <v>3</v>
      </c>
      <c r="F65" s="107">
        <v>30</v>
      </c>
      <c r="G65" s="107">
        <v>30</v>
      </c>
      <c r="H65" s="107">
        <v>0</v>
      </c>
      <c r="I65" s="107">
        <v>0</v>
      </c>
      <c r="J65" s="107" t="s">
        <v>19</v>
      </c>
      <c r="K65" s="106" t="s">
        <v>91</v>
      </c>
      <c r="L65" s="105" t="s">
        <v>141</v>
      </c>
      <c r="M65" s="111" t="s">
        <v>148</v>
      </c>
      <c r="N65" s="105"/>
      <c r="O65" s="110"/>
      <c r="P65" s="102" t="s">
        <v>38</v>
      </c>
      <c r="Q65" s="101" t="s">
        <v>37</v>
      </c>
      <c r="R65" s="100">
        <v>2</v>
      </c>
      <c r="S65" s="99">
        <v>2</v>
      </c>
      <c r="U65" s="2"/>
      <c r="V65" s="2"/>
      <c r="W65" s="1"/>
      <c r="X65" s="1"/>
    </row>
    <row r="66" spans="1:24" s="47" customFormat="1" ht="27.6" x14ac:dyDescent="0.3">
      <c r="A66" s="109">
        <v>3</v>
      </c>
      <c r="B66" s="107" t="s">
        <v>184</v>
      </c>
      <c r="C66" s="108" t="s">
        <v>183</v>
      </c>
      <c r="D66" s="104" t="s">
        <v>182</v>
      </c>
      <c r="E66" s="107">
        <v>3</v>
      </c>
      <c r="F66" s="107">
        <v>30</v>
      </c>
      <c r="G66" s="107">
        <v>30</v>
      </c>
      <c r="H66" s="107">
        <v>0</v>
      </c>
      <c r="I66" s="107">
        <v>0</v>
      </c>
      <c r="J66" s="107" t="s">
        <v>19</v>
      </c>
      <c r="K66" s="107" t="s">
        <v>3</v>
      </c>
      <c r="L66" s="105" t="s">
        <v>65</v>
      </c>
      <c r="M66" s="111" t="s">
        <v>148</v>
      </c>
      <c r="N66" s="105"/>
      <c r="O66" s="110"/>
      <c r="P66" s="102" t="s">
        <v>38</v>
      </c>
      <c r="Q66" s="101" t="s">
        <v>37</v>
      </c>
      <c r="R66" s="100">
        <v>1</v>
      </c>
      <c r="S66" s="99">
        <v>2</v>
      </c>
      <c r="U66" s="2"/>
      <c r="V66" s="2"/>
      <c r="W66" s="1"/>
      <c r="X66" s="1"/>
    </row>
    <row r="67" spans="1:24" ht="41.4" x14ac:dyDescent="0.3">
      <c r="A67" s="109">
        <v>4</v>
      </c>
      <c r="B67" s="107" t="s">
        <v>181</v>
      </c>
      <c r="C67" s="104" t="s">
        <v>180</v>
      </c>
      <c r="D67" s="104" t="s">
        <v>179</v>
      </c>
      <c r="E67" s="107">
        <v>3</v>
      </c>
      <c r="F67" s="107">
        <v>30</v>
      </c>
      <c r="G67" s="107">
        <v>30</v>
      </c>
      <c r="H67" s="107">
        <v>0</v>
      </c>
      <c r="I67" s="107">
        <v>0</v>
      </c>
      <c r="J67" s="107" t="s">
        <v>19</v>
      </c>
      <c r="K67" s="107" t="s">
        <v>3</v>
      </c>
      <c r="L67" s="105" t="s">
        <v>3</v>
      </c>
      <c r="M67" s="111" t="s">
        <v>148</v>
      </c>
      <c r="N67" s="105"/>
      <c r="O67" s="110" t="s">
        <v>178</v>
      </c>
      <c r="P67" s="102" t="s">
        <v>53</v>
      </c>
      <c r="Q67" s="101" t="s">
        <v>52</v>
      </c>
      <c r="R67" s="100">
        <v>2</v>
      </c>
      <c r="S67" s="99">
        <v>2</v>
      </c>
      <c r="T67" s="47"/>
    </row>
    <row r="68" spans="1:24" s="47" customFormat="1" ht="39.6" x14ac:dyDescent="0.3">
      <c r="A68" s="109">
        <v>5</v>
      </c>
      <c r="B68" s="107" t="s">
        <v>177</v>
      </c>
      <c r="C68" s="108" t="s">
        <v>176</v>
      </c>
      <c r="D68" s="104" t="s">
        <v>175</v>
      </c>
      <c r="E68" s="107">
        <v>3</v>
      </c>
      <c r="F68" s="107">
        <v>30</v>
      </c>
      <c r="G68" s="107">
        <v>30</v>
      </c>
      <c r="H68" s="107">
        <v>0</v>
      </c>
      <c r="I68" s="107">
        <v>0</v>
      </c>
      <c r="J68" s="107" t="s">
        <v>149</v>
      </c>
      <c r="K68" s="106" t="s">
        <v>91</v>
      </c>
      <c r="L68" s="104" t="s">
        <v>3</v>
      </c>
      <c r="M68" s="105" t="s">
        <v>148</v>
      </c>
      <c r="N68" s="104"/>
      <c r="O68" s="103" t="s">
        <v>170</v>
      </c>
      <c r="P68" s="102" t="s">
        <v>111</v>
      </c>
      <c r="Q68" s="101" t="s">
        <v>47</v>
      </c>
      <c r="R68" s="100">
        <v>3</v>
      </c>
      <c r="S68" s="99">
        <v>2</v>
      </c>
      <c r="U68" s="2"/>
      <c r="V68" s="2"/>
      <c r="W68" s="1"/>
      <c r="X68" s="1"/>
    </row>
    <row r="69" spans="1:24" s="47" customFormat="1" ht="27.6" x14ac:dyDescent="0.3">
      <c r="A69" s="109">
        <v>6</v>
      </c>
      <c r="B69" s="107" t="s">
        <v>174</v>
      </c>
      <c r="C69" s="108" t="s">
        <v>173</v>
      </c>
      <c r="D69" s="104" t="s">
        <v>172</v>
      </c>
      <c r="E69" s="107">
        <v>3</v>
      </c>
      <c r="F69" s="107">
        <v>30</v>
      </c>
      <c r="G69" s="107">
        <v>30</v>
      </c>
      <c r="H69" s="107">
        <v>0</v>
      </c>
      <c r="I69" s="107">
        <v>0</v>
      </c>
      <c r="J69" s="107" t="s">
        <v>149</v>
      </c>
      <c r="K69" s="107" t="s">
        <v>91</v>
      </c>
      <c r="L69" s="105" t="s">
        <v>171</v>
      </c>
      <c r="M69" s="111" t="s">
        <v>148</v>
      </c>
      <c r="N69" s="105"/>
      <c r="O69" s="110" t="s">
        <v>170</v>
      </c>
      <c r="P69" s="102" t="s">
        <v>111</v>
      </c>
      <c r="Q69" s="101" t="s">
        <v>47</v>
      </c>
      <c r="R69" s="100">
        <v>2</v>
      </c>
      <c r="S69" s="99">
        <v>2</v>
      </c>
      <c r="U69" s="2"/>
      <c r="V69" s="2"/>
      <c r="W69" s="1"/>
      <c r="X69" s="1"/>
    </row>
    <row r="70" spans="1:24" s="47" customFormat="1" ht="39.6" x14ac:dyDescent="0.3">
      <c r="A70" s="109">
        <v>7</v>
      </c>
      <c r="B70" s="107" t="s">
        <v>169</v>
      </c>
      <c r="C70" s="108" t="s">
        <v>168</v>
      </c>
      <c r="D70" s="104" t="s">
        <v>167</v>
      </c>
      <c r="E70" s="107">
        <v>3</v>
      </c>
      <c r="F70" s="107">
        <v>30</v>
      </c>
      <c r="G70" s="107">
        <v>30</v>
      </c>
      <c r="H70" s="107">
        <v>0</v>
      </c>
      <c r="I70" s="107">
        <v>0</v>
      </c>
      <c r="J70" s="107" t="s">
        <v>149</v>
      </c>
      <c r="K70" s="106" t="s">
        <v>91</v>
      </c>
      <c r="L70" s="104" t="s">
        <v>166</v>
      </c>
      <c r="M70" s="105" t="s">
        <v>148</v>
      </c>
      <c r="N70" s="104"/>
      <c r="O70" s="103" t="s">
        <v>165</v>
      </c>
      <c r="P70" s="102" t="s">
        <v>38</v>
      </c>
      <c r="Q70" s="101" t="s">
        <v>37</v>
      </c>
      <c r="R70" s="100">
        <v>2</v>
      </c>
      <c r="S70" s="99">
        <v>2</v>
      </c>
      <c r="U70" s="2"/>
      <c r="V70" s="2"/>
      <c r="W70" s="1"/>
      <c r="X70" s="1"/>
    </row>
    <row r="71" spans="1:24" s="47" customFormat="1" ht="41.4" x14ac:dyDescent="0.3">
      <c r="A71" s="109">
        <v>8</v>
      </c>
      <c r="B71" s="107" t="s">
        <v>164</v>
      </c>
      <c r="C71" s="104" t="s">
        <v>163</v>
      </c>
      <c r="D71" s="104" t="s">
        <v>162</v>
      </c>
      <c r="E71" s="107">
        <v>3</v>
      </c>
      <c r="F71" s="107">
        <v>30</v>
      </c>
      <c r="G71" s="107">
        <v>30</v>
      </c>
      <c r="H71" s="107">
        <v>0</v>
      </c>
      <c r="I71" s="107">
        <v>0</v>
      </c>
      <c r="J71" s="107" t="s">
        <v>149</v>
      </c>
      <c r="K71" s="107" t="s">
        <v>3</v>
      </c>
      <c r="L71" s="105" t="s">
        <v>3</v>
      </c>
      <c r="M71" s="111" t="s">
        <v>148</v>
      </c>
      <c r="N71" s="105"/>
      <c r="O71" s="110" t="s">
        <v>161</v>
      </c>
      <c r="P71" s="102" t="s">
        <v>53</v>
      </c>
      <c r="Q71" s="101" t="s">
        <v>52</v>
      </c>
      <c r="R71" s="100">
        <v>3</v>
      </c>
      <c r="S71" s="99">
        <v>2</v>
      </c>
      <c r="U71" s="2"/>
      <c r="V71" s="2"/>
      <c r="W71" s="1"/>
      <c r="X71" s="1"/>
    </row>
    <row r="72" spans="1:24" ht="66" x14ac:dyDescent="0.3">
      <c r="A72" s="109">
        <v>9</v>
      </c>
      <c r="B72" s="107" t="s">
        <v>160</v>
      </c>
      <c r="C72" s="104" t="s">
        <v>159</v>
      </c>
      <c r="D72" s="104" t="s">
        <v>158</v>
      </c>
      <c r="E72" s="107">
        <v>3</v>
      </c>
      <c r="F72" s="107">
        <v>30</v>
      </c>
      <c r="G72" s="107">
        <v>30</v>
      </c>
      <c r="H72" s="107">
        <v>0</v>
      </c>
      <c r="I72" s="107">
        <v>0</v>
      </c>
      <c r="J72" s="107" t="s">
        <v>149</v>
      </c>
      <c r="K72" s="106" t="s">
        <v>3</v>
      </c>
      <c r="L72" s="104" t="s">
        <v>141</v>
      </c>
      <c r="M72" s="105" t="s">
        <v>148</v>
      </c>
      <c r="N72" s="104"/>
      <c r="O72" s="103" t="s">
        <v>157</v>
      </c>
      <c r="P72" s="102">
        <v>200113301</v>
      </c>
      <c r="Q72" s="101" t="s">
        <v>24</v>
      </c>
      <c r="R72" s="100">
        <v>2</v>
      </c>
      <c r="S72" s="99">
        <v>2</v>
      </c>
    </row>
    <row r="73" spans="1:24" ht="52.8" x14ac:dyDescent="0.3">
      <c r="A73" s="109">
        <v>10</v>
      </c>
      <c r="B73" s="107" t="s">
        <v>156</v>
      </c>
      <c r="C73" s="104" t="s">
        <v>155</v>
      </c>
      <c r="D73" s="104" t="s">
        <v>154</v>
      </c>
      <c r="E73" s="107">
        <v>3</v>
      </c>
      <c r="F73" s="107">
        <v>30</v>
      </c>
      <c r="G73" s="107">
        <v>30</v>
      </c>
      <c r="H73" s="107">
        <v>0</v>
      </c>
      <c r="I73" s="107">
        <v>0</v>
      </c>
      <c r="J73" s="107" t="s">
        <v>149</v>
      </c>
      <c r="K73" s="106" t="s">
        <v>3</v>
      </c>
      <c r="L73" s="104" t="s">
        <v>141</v>
      </c>
      <c r="M73" s="105" t="s">
        <v>148</v>
      </c>
      <c r="N73" s="104"/>
      <c r="O73" s="103" t="s">
        <v>153</v>
      </c>
      <c r="P73" s="102">
        <v>200113301</v>
      </c>
      <c r="Q73" s="101" t="s">
        <v>24</v>
      </c>
      <c r="R73" s="100">
        <v>2</v>
      </c>
      <c r="S73" s="99">
        <v>2</v>
      </c>
    </row>
    <row r="74" spans="1:24" ht="66" x14ac:dyDescent="0.3">
      <c r="A74" s="109">
        <v>11</v>
      </c>
      <c r="B74" s="107" t="s">
        <v>152</v>
      </c>
      <c r="C74" s="108" t="s">
        <v>151</v>
      </c>
      <c r="D74" s="104" t="s">
        <v>150</v>
      </c>
      <c r="E74" s="107">
        <v>3</v>
      </c>
      <c r="F74" s="107">
        <v>30</v>
      </c>
      <c r="G74" s="107">
        <v>30</v>
      </c>
      <c r="H74" s="107">
        <v>0</v>
      </c>
      <c r="I74" s="107">
        <v>0</v>
      </c>
      <c r="J74" s="107" t="s">
        <v>149</v>
      </c>
      <c r="K74" s="106" t="s">
        <v>3</v>
      </c>
      <c r="L74" s="104" t="s">
        <v>3</v>
      </c>
      <c r="M74" s="105" t="s">
        <v>148</v>
      </c>
      <c r="N74" s="104"/>
      <c r="O74" s="103" t="s">
        <v>147</v>
      </c>
      <c r="P74" s="102" t="s">
        <v>38</v>
      </c>
      <c r="Q74" s="101" t="s">
        <v>37</v>
      </c>
      <c r="R74" s="100">
        <v>3</v>
      </c>
      <c r="S74" s="99">
        <v>2</v>
      </c>
    </row>
    <row r="75" spans="1:24" s="41" customFormat="1" ht="21.6" customHeight="1" x14ac:dyDescent="0.3">
      <c r="A75" s="44" t="s">
        <v>146</v>
      </c>
      <c r="B75" s="42"/>
      <c r="C75" s="42"/>
      <c r="D75" s="42"/>
      <c r="E75" s="43">
        <f>E76+E97</f>
        <v>27</v>
      </c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U75" s="2"/>
      <c r="V75" s="2"/>
    </row>
    <row r="76" spans="1:24" s="41" customFormat="1" ht="21.6" customHeight="1" x14ac:dyDescent="0.3">
      <c r="A76" s="68" t="s">
        <v>145</v>
      </c>
      <c r="B76" s="66"/>
      <c r="C76" s="66"/>
      <c r="D76" s="66"/>
      <c r="E76" s="79">
        <f>SUM(E77:E82)</f>
        <v>18</v>
      </c>
      <c r="F76" s="79" t="s">
        <v>73</v>
      </c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U76" s="2"/>
      <c r="V76" s="2"/>
    </row>
    <row r="77" spans="1:24" ht="27.6" x14ac:dyDescent="0.3">
      <c r="A77" s="98">
        <f>COUNTA($B$12:B77)</f>
        <v>58</v>
      </c>
      <c r="B77" s="97" t="s">
        <v>144</v>
      </c>
      <c r="C77" s="94" t="s">
        <v>143</v>
      </c>
      <c r="D77" s="94" t="s">
        <v>142</v>
      </c>
      <c r="E77" s="97">
        <v>3</v>
      </c>
      <c r="F77" s="97">
        <v>30</v>
      </c>
      <c r="G77" s="97">
        <v>30</v>
      </c>
      <c r="H77" s="97">
        <v>0</v>
      </c>
      <c r="I77" s="97">
        <v>0</v>
      </c>
      <c r="J77" s="97" t="s">
        <v>19</v>
      </c>
      <c r="K77" s="96" t="s">
        <v>91</v>
      </c>
      <c r="L77" s="94" t="s">
        <v>141</v>
      </c>
      <c r="M77" s="95" t="s">
        <v>28</v>
      </c>
      <c r="N77" s="94" t="s">
        <v>122</v>
      </c>
      <c r="O77" s="93"/>
      <c r="P77" s="92" t="s">
        <v>38</v>
      </c>
      <c r="Q77" s="91" t="s">
        <v>37</v>
      </c>
      <c r="R77" s="90">
        <v>3</v>
      </c>
      <c r="S77" s="89">
        <v>2</v>
      </c>
    </row>
    <row r="78" spans="1:24" ht="27.6" x14ac:dyDescent="0.3">
      <c r="A78" s="98">
        <f>COUNTA($B$12:B78)</f>
        <v>59</v>
      </c>
      <c r="B78" s="97" t="s">
        <v>140</v>
      </c>
      <c r="C78" s="94" t="s">
        <v>139</v>
      </c>
      <c r="D78" s="94" t="s">
        <v>138</v>
      </c>
      <c r="E78" s="97">
        <v>3</v>
      </c>
      <c r="F78" s="97">
        <v>30</v>
      </c>
      <c r="G78" s="97">
        <v>30</v>
      </c>
      <c r="H78" s="97">
        <v>0</v>
      </c>
      <c r="I78" s="97">
        <v>0</v>
      </c>
      <c r="J78" s="97" t="s">
        <v>19</v>
      </c>
      <c r="K78" s="96" t="s">
        <v>91</v>
      </c>
      <c r="L78" s="94" t="s">
        <v>123</v>
      </c>
      <c r="M78" s="95" t="s">
        <v>28</v>
      </c>
      <c r="N78" s="94" t="s">
        <v>122</v>
      </c>
      <c r="O78" s="93"/>
      <c r="P78" s="92" t="s">
        <v>38</v>
      </c>
      <c r="Q78" s="91" t="s">
        <v>37</v>
      </c>
      <c r="R78" s="90">
        <v>1</v>
      </c>
      <c r="S78" s="89">
        <v>3</v>
      </c>
    </row>
    <row r="79" spans="1:24" ht="27.6" x14ac:dyDescent="0.3">
      <c r="A79" s="98">
        <f>COUNTA($B$12:B79)</f>
        <v>60</v>
      </c>
      <c r="B79" s="97" t="s">
        <v>137</v>
      </c>
      <c r="C79" s="94" t="s">
        <v>136</v>
      </c>
      <c r="D79" s="94" t="s">
        <v>135</v>
      </c>
      <c r="E79" s="97">
        <v>3</v>
      </c>
      <c r="F79" s="97">
        <v>30</v>
      </c>
      <c r="G79" s="97">
        <v>30</v>
      </c>
      <c r="H79" s="97">
        <v>0</v>
      </c>
      <c r="I79" s="97">
        <v>0</v>
      </c>
      <c r="J79" s="97" t="s">
        <v>19</v>
      </c>
      <c r="K79" s="96" t="s">
        <v>91</v>
      </c>
      <c r="L79" s="94" t="s">
        <v>123</v>
      </c>
      <c r="M79" s="95" t="s">
        <v>28</v>
      </c>
      <c r="N79" s="94" t="s">
        <v>122</v>
      </c>
      <c r="O79" s="93"/>
      <c r="P79" s="92" t="s">
        <v>38</v>
      </c>
      <c r="Q79" s="91" t="s">
        <v>37</v>
      </c>
      <c r="R79" s="90">
        <v>1</v>
      </c>
      <c r="S79" s="89">
        <v>3</v>
      </c>
    </row>
    <row r="80" spans="1:24" ht="32.4" customHeight="1" x14ac:dyDescent="0.3">
      <c r="A80" s="98">
        <f>COUNTA($B$12:B80)</f>
        <v>61</v>
      </c>
      <c r="B80" s="97" t="s">
        <v>134</v>
      </c>
      <c r="C80" s="94" t="s">
        <v>133</v>
      </c>
      <c r="D80" s="94" t="s">
        <v>132</v>
      </c>
      <c r="E80" s="97">
        <v>3</v>
      </c>
      <c r="F80" s="97">
        <v>30</v>
      </c>
      <c r="G80" s="97">
        <v>30</v>
      </c>
      <c r="H80" s="97">
        <v>0</v>
      </c>
      <c r="I80" s="97">
        <v>0</v>
      </c>
      <c r="J80" s="97" t="s">
        <v>19</v>
      </c>
      <c r="K80" s="96" t="s">
        <v>91</v>
      </c>
      <c r="L80" s="94" t="s">
        <v>131</v>
      </c>
      <c r="M80" s="95" t="s">
        <v>28</v>
      </c>
      <c r="N80" s="94" t="s">
        <v>122</v>
      </c>
      <c r="O80" s="93"/>
      <c r="P80" s="92" t="s">
        <v>38</v>
      </c>
      <c r="Q80" s="91" t="s">
        <v>37</v>
      </c>
      <c r="R80" s="90">
        <v>2</v>
      </c>
      <c r="S80" s="89">
        <v>3</v>
      </c>
    </row>
    <row r="81" spans="1:24" ht="27.6" x14ac:dyDescent="0.3">
      <c r="A81" s="98">
        <f>COUNTA($B$12:B81)</f>
        <v>62</v>
      </c>
      <c r="B81" s="97" t="s">
        <v>130</v>
      </c>
      <c r="C81" s="94" t="s">
        <v>129</v>
      </c>
      <c r="D81" s="94" t="s">
        <v>128</v>
      </c>
      <c r="E81" s="97">
        <v>3</v>
      </c>
      <c r="F81" s="97">
        <v>30</v>
      </c>
      <c r="G81" s="97">
        <v>30</v>
      </c>
      <c r="H81" s="97">
        <v>0</v>
      </c>
      <c r="I81" s="97">
        <v>0</v>
      </c>
      <c r="J81" s="97" t="s">
        <v>19</v>
      </c>
      <c r="K81" s="96" t="s">
        <v>91</v>
      </c>
      <c r="L81" s="94" t="s">
        <v>127</v>
      </c>
      <c r="M81" s="95" t="s">
        <v>28</v>
      </c>
      <c r="N81" s="94" t="s">
        <v>122</v>
      </c>
      <c r="O81" s="93"/>
      <c r="P81" s="92" t="s">
        <v>38</v>
      </c>
      <c r="Q81" s="91" t="s">
        <v>37</v>
      </c>
      <c r="R81" s="90">
        <v>2</v>
      </c>
      <c r="S81" s="89">
        <v>3</v>
      </c>
    </row>
    <row r="82" spans="1:24" ht="27.6" x14ac:dyDescent="0.3">
      <c r="A82" s="98">
        <f>COUNTA($B$12:B82)</f>
        <v>63</v>
      </c>
      <c r="B82" s="97" t="s">
        <v>126</v>
      </c>
      <c r="C82" s="94" t="s">
        <v>125</v>
      </c>
      <c r="D82" s="94" t="s">
        <v>124</v>
      </c>
      <c r="E82" s="97">
        <v>3</v>
      </c>
      <c r="F82" s="97">
        <v>30</v>
      </c>
      <c r="G82" s="97">
        <v>30</v>
      </c>
      <c r="H82" s="97">
        <v>0</v>
      </c>
      <c r="I82" s="97">
        <v>0</v>
      </c>
      <c r="J82" s="97" t="s">
        <v>19</v>
      </c>
      <c r="K82" s="96" t="s">
        <v>91</v>
      </c>
      <c r="L82" s="94" t="s">
        <v>123</v>
      </c>
      <c r="M82" s="95" t="s">
        <v>28</v>
      </c>
      <c r="N82" s="94" t="s">
        <v>122</v>
      </c>
      <c r="O82" s="93"/>
      <c r="P82" s="92" t="s">
        <v>38</v>
      </c>
      <c r="Q82" s="91" t="s">
        <v>37</v>
      </c>
      <c r="R82" s="90">
        <v>2</v>
      </c>
      <c r="S82" s="89">
        <v>3</v>
      </c>
    </row>
    <row r="83" spans="1:24" s="41" customFormat="1" ht="21.6" customHeight="1" x14ac:dyDescent="0.3">
      <c r="A83" s="68" t="s">
        <v>121</v>
      </c>
      <c r="B83" s="66"/>
      <c r="C83" s="66"/>
      <c r="D83" s="66"/>
      <c r="E83" s="79">
        <f>SUM(E84:E89)</f>
        <v>18</v>
      </c>
      <c r="F83" s="67" t="s">
        <v>73</v>
      </c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U83" s="2"/>
      <c r="V83" s="2"/>
    </row>
    <row r="84" spans="1:24" ht="27.6" x14ac:dyDescent="0.3">
      <c r="A84" s="88">
        <f>COUNTA($B$12:B84)</f>
        <v>64</v>
      </c>
      <c r="B84" s="87" t="s">
        <v>120</v>
      </c>
      <c r="C84" s="85" t="s">
        <v>119</v>
      </c>
      <c r="D84" s="85" t="s">
        <v>118</v>
      </c>
      <c r="E84" s="87">
        <v>3</v>
      </c>
      <c r="F84" s="87">
        <v>30</v>
      </c>
      <c r="G84" s="87">
        <v>30</v>
      </c>
      <c r="H84" s="87">
        <v>0</v>
      </c>
      <c r="I84" s="87">
        <v>0</v>
      </c>
      <c r="J84" s="87" t="s">
        <v>19</v>
      </c>
      <c r="K84" s="87" t="s">
        <v>91</v>
      </c>
      <c r="L84" s="85" t="s">
        <v>3</v>
      </c>
      <c r="M84" s="86" t="s">
        <v>28</v>
      </c>
      <c r="N84" s="85" t="s">
        <v>100</v>
      </c>
      <c r="O84" s="84"/>
      <c r="P84" s="83" t="s">
        <v>111</v>
      </c>
      <c r="Q84" s="82" t="s">
        <v>47</v>
      </c>
      <c r="R84" s="81">
        <v>3</v>
      </c>
      <c r="S84" s="80">
        <v>2</v>
      </c>
    </row>
    <row r="85" spans="1:24" ht="27.6" x14ac:dyDescent="0.3">
      <c r="A85" s="88">
        <f>COUNTA($B$12:B85)</f>
        <v>65</v>
      </c>
      <c r="B85" s="87" t="s">
        <v>117</v>
      </c>
      <c r="C85" s="85" t="s">
        <v>116</v>
      </c>
      <c r="D85" s="85" t="s">
        <v>115</v>
      </c>
      <c r="E85" s="87">
        <v>3</v>
      </c>
      <c r="F85" s="87">
        <v>30</v>
      </c>
      <c r="G85" s="87">
        <v>30</v>
      </c>
      <c r="H85" s="87">
        <v>0</v>
      </c>
      <c r="I85" s="87">
        <v>0</v>
      </c>
      <c r="J85" s="87" t="s">
        <v>19</v>
      </c>
      <c r="K85" s="87" t="s">
        <v>91</v>
      </c>
      <c r="L85" s="85" t="s">
        <v>87</v>
      </c>
      <c r="M85" s="86" t="s">
        <v>28</v>
      </c>
      <c r="N85" s="85" t="s">
        <v>100</v>
      </c>
      <c r="O85" s="84"/>
      <c r="P85" s="83" t="s">
        <v>111</v>
      </c>
      <c r="Q85" s="82" t="s">
        <v>47</v>
      </c>
      <c r="R85" s="81">
        <v>1</v>
      </c>
      <c r="S85" s="80">
        <v>3</v>
      </c>
    </row>
    <row r="86" spans="1:24" ht="27.6" x14ac:dyDescent="0.3">
      <c r="A86" s="88">
        <f>COUNTA($B$12:B86)</f>
        <v>66</v>
      </c>
      <c r="B86" s="87" t="s">
        <v>114</v>
      </c>
      <c r="C86" s="85" t="s">
        <v>113</v>
      </c>
      <c r="D86" s="85" t="s">
        <v>112</v>
      </c>
      <c r="E86" s="87">
        <v>3</v>
      </c>
      <c r="F86" s="87">
        <v>30</v>
      </c>
      <c r="G86" s="87">
        <v>30</v>
      </c>
      <c r="H86" s="87">
        <v>0</v>
      </c>
      <c r="I86" s="87">
        <v>0</v>
      </c>
      <c r="J86" s="87" t="s">
        <v>19</v>
      </c>
      <c r="K86" s="87" t="s">
        <v>91</v>
      </c>
      <c r="L86" s="85" t="s">
        <v>3</v>
      </c>
      <c r="M86" s="86" t="s">
        <v>28</v>
      </c>
      <c r="N86" s="85" t="s">
        <v>100</v>
      </c>
      <c r="O86" s="84"/>
      <c r="P86" s="83" t="s">
        <v>111</v>
      </c>
      <c r="Q86" s="82" t="s">
        <v>47</v>
      </c>
      <c r="R86" s="81">
        <v>1</v>
      </c>
      <c r="S86" s="80">
        <v>3</v>
      </c>
    </row>
    <row r="87" spans="1:24" ht="27.6" x14ac:dyDescent="0.3">
      <c r="A87" s="88">
        <f>COUNTA($B$12:B87)</f>
        <v>67</v>
      </c>
      <c r="B87" s="87" t="s">
        <v>110</v>
      </c>
      <c r="C87" s="85" t="s">
        <v>109</v>
      </c>
      <c r="D87" s="85" t="s">
        <v>108</v>
      </c>
      <c r="E87" s="87">
        <v>3</v>
      </c>
      <c r="F87" s="87">
        <v>30</v>
      </c>
      <c r="G87" s="87">
        <v>30</v>
      </c>
      <c r="H87" s="87">
        <v>0</v>
      </c>
      <c r="I87" s="87">
        <v>0</v>
      </c>
      <c r="J87" s="87" t="s">
        <v>19</v>
      </c>
      <c r="K87" s="87" t="s">
        <v>91</v>
      </c>
      <c r="L87" s="85" t="s">
        <v>3</v>
      </c>
      <c r="M87" s="86" t="s">
        <v>28</v>
      </c>
      <c r="N87" s="85" t="s">
        <v>100</v>
      </c>
      <c r="O87" s="84"/>
      <c r="P87" s="83" t="s">
        <v>48</v>
      </c>
      <c r="Q87" s="82" t="s">
        <v>47</v>
      </c>
      <c r="R87" s="81">
        <v>2</v>
      </c>
      <c r="S87" s="80">
        <v>3</v>
      </c>
    </row>
    <row r="88" spans="1:24" ht="27.6" x14ac:dyDescent="0.3">
      <c r="A88" s="88">
        <f>COUNTA($B$12:B88)</f>
        <v>68</v>
      </c>
      <c r="B88" s="87" t="s">
        <v>107</v>
      </c>
      <c r="C88" s="85" t="s">
        <v>106</v>
      </c>
      <c r="D88" s="85" t="s">
        <v>105</v>
      </c>
      <c r="E88" s="87">
        <v>3</v>
      </c>
      <c r="F88" s="87">
        <v>30</v>
      </c>
      <c r="G88" s="87">
        <v>30</v>
      </c>
      <c r="H88" s="87">
        <v>0</v>
      </c>
      <c r="I88" s="87">
        <v>0</v>
      </c>
      <c r="J88" s="87" t="s">
        <v>19</v>
      </c>
      <c r="K88" s="87" t="s">
        <v>3</v>
      </c>
      <c r="L88" s="85" t="s">
        <v>104</v>
      </c>
      <c r="M88" s="86" t="s">
        <v>28</v>
      </c>
      <c r="N88" s="85" t="s">
        <v>100</v>
      </c>
      <c r="O88" s="84"/>
      <c r="P88" s="83" t="s">
        <v>48</v>
      </c>
      <c r="Q88" s="82" t="s">
        <v>47</v>
      </c>
      <c r="R88" s="81">
        <v>2</v>
      </c>
      <c r="S88" s="80">
        <v>3</v>
      </c>
    </row>
    <row r="89" spans="1:24" ht="27.6" x14ac:dyDescent="0.3">
      <c r="A89" s="88">
        <f>COUNTA($B$12:B89)</f>
        <v>69</v>
      </c>
      <c r="B89" s="87" t="s">
        <v>103</v>
      </c>
      <c r="C89" s="85" t="s">
        <v>102</v>
      </c>
      <c r="D89" s="85" t="s">
        <v>101</v>
      </c>
      <c r="E89" s="87">
        <v>3</v>
      </c>
      <c r="F89" s="87">
        <v>30</v>
      </c>
      <c r="G89" s="87">
        <v>30</v>
      </c>
      <c r="H89" s="87">
        <v>0</v>
      </c>
      <c r="I89" s="87">
        <v>0</v>
      </c>
      <c r="J89" s="87" t="s">
        <v>19</v>
      </c>
      <c r="K89" s="87" t="s">
        <v>3</v>
      </c>
      <c r="L89" s="85" t="s">
        <v>69</v>
      </c>
      <c r="M89" s="86" t="s">
        <v>28</v>
      </c>
      <c r="N89" s="85" t="s">
        <v>100</v>
      </c>
      <c r="O89" s="84"/>
      <c r="P89" s="83" t="s">
        <v>48</v>
      </c>
      <c r="Q89" s="82" t="s">
        <v>47</v>
      </c>
      <c r="R89" s="81">
        <v>2</v>
      </c>
      <c r="S89" s="80">
        <v>3</v>
      </c>
    </row>
    <row r="90" spans="1:24" s="41" customFormat="1" ht="21.6" customHeight="1" x14ac:dyDescent="0.3">
      <c r="A90" s="68" t="s">
        <v>99</v>
      </c>
      <c r="B90" s="66"/>
      <c r="C90" s="66"/>
      <c r="D90" s="66"/>
      <c r="E90" s="79">
        <f>SUM(E91:E96)</f>
        <v>18</v>
      </c>
      <c r="F90" s="67" t="s">
        <v>73</v>
      </c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U90" s="2"/>
      <c r="V90" s="2"/>
    </row>
    <row r="91" spans="1:24" ht="27.6" x14ac:dyDescent="0.3">
      <c r="A91" s="78">
        <f>COUNTA($B$12:B91)</f>
        <v>70</v>
      </c>
      <c r="B91" s="77" t="s">
        <v>98</v>
      </c>
      <c r="C91" s="74" t="s">
        <v>97</v>
      </c>
      <c r="D91" s="74" t="s">
        <v>96</v>
      </c>
      <c r="E91" s="77">
        <v>3</v>
      </c>
      <c r="F91" s="77">
        <v>30</v>
      </c>
      <c r="G91" s="77">
        <v>30</v>
      </c>
      <c r="H91" s="77">
        <v>0</v>
      </c>
      <c r="I91" s="77">
        <v>0</v>
      </c>
      <c r="J91" s="77" t="s">
        <v>19</v>
      </c>
      <c r="K91" s="76" t="s">
        <v>3</v>
      </c>
      <c r="L91" s="74" t="s">
        <v>95</v>
      </c>
      <c r="M91" s="75" t="s">
        <v>28</v>
      </c>
      <c r="N91" s="74" t="s">
        <v>75</v>
      </c>
      <c r="O91" s="73"/>
      <c r="P91" s="72" t="s">
        <v>48</v>
      </c>
      <c r="Q91" s="71" t="s">
        <v>47</v>
      </c>
      <c r="R91" s="70">
        <v>3</v>
      </c>
      <c r="S91" s="69">
        <v>2</v>
      </c>
    </row>
    <row r="92" spans="1:24" ht="27.6" x14ac:dyDescent="0.3">
      <c r="A92" s="78">
        <f>COUNTA($B$12:B92)</f>
        <v>71</v>
      </c>
      <c r="B92" s="77" t="s">
        <v>94</v>
      </c>
      <c r="C92" s="74" t="s">
        <v>93</v>
      </c>
      <c r="D92" s="74" t="s">
        <v>92</v>
      </c>
      <c r="E92" s="77">
        <v>3</v>
      </c>
      <c r="F92" s="77">
        <v>30</v>
      </c>
      <c r="G92" s="77">
        <v>30</v>
      </c>
      <c r="H92" s="77">
        <v>0</v>
      </c>
      <c r="I92" s="77">
        <v>0</v>
      </c>
      <c r="J92" s="77" t="s">
        <v>19</v>
      </c>
      <c r="K92" s="76" t="s">
        <v>91</v>
      </c>
      <c r="L92" s="74" t="s">
        <v>87</v>
      </c>
      <c r="M92" s="75" t="s">
        <v>28</v>
      </c>
      <c r="N92" s="74" t="s">
        <v>75</v>
      </c>
      <c r="O92" s="73"/>
      <c r="P92" s="72" t="s">
        <v>48</v>
      </c>
      <c r="Q92" s="71" t="s">
        <v>47</v>
      </c>
      <c r="R92" s="70">
        <v>1</v>
      </c>
      <c r="S92" s="69">
        <v>3</v>
      </c>
    </row>
    <row r="93" spans="1:24" ht="27.6" x14ac:dyDescent="0.3">
      <c r="A93" s="78">
        <f>COUNTA($B$12:B93)</f>
        <v>72</v>
      </c>
      <c r="B93" s="77" t="s">
        <v>90</v>
      </c>
      <c r="C93" s="74" t="s">
        <v>89</v>
      </c>
      <c r="D93" s="74" t="s">
        <v>88</v>
      </c>
      <c r="E93" s="77">
        <v>3</v>
      </c>
      <c r="F93" s="77">
        <v>30</v>
      </c>
      <c r="G93" s="77">
        <v>30</v>
      </c>
      <c r="H93" s="77">
        <v>0</v>
      </c>
      <c r="I93" s="77">
        <v>0</v>
      </c>
      <c r="J93" s="77" t="s">
        <v>19</v>
      </c>
      <c r="K93" s="76" t="s">
        <v>3</v>
      </c>
      <c r="L93" s="74" t="s">
        <v>87</v>
      </c>
      <c r="M93" s="75" t="s">
        <v>28</v>
      </c>
      <c r="N93" s="74" t="s">
        <v>75</v>
      </c>
      <c r="O93" s="73"/>
      <c r="P93" s="72" t="s">
        <v>48</v>
      </c>
      <c r="Q93" s="71" t="s">
        <v>47</v>
      </c>
      <c r="R93" s="70">
        <v>1</v>
      </c>
      <c r="S93" s="69">
        <v>3</v>
      </c>
    </row>
    <row r="94" spans="1:24" ht="27.6" x14ac:dyDescent="0.3">
      <c r="A94" s="78">
        <f>COUNTA($B$12:B94)</f>
        <v>73</v>
      </c>
      <c r="B94" s="77" t="s">
        <v>86</v>
      </c>
      <c r="C94" s="74" t="s">
        <v>85</v>
      </c>
      <c r="D94" s="74" t="s">
        <v>84</v>
      </c>
      <c r="E94" s="77">
        <v>3</v>
      </c>
      <c r="F94" s="77">
        <v>30</v>
      </c>
      <c r="G94" s="77">
        <v>30</v>
      </c>
      <c r="H94" s="77">
        <v>0</v>
      </c>
      <c r="I94" s="77">
        <v>0</v>
      </c>
      <c r="J94" s="77" t="s">
        <v>19</v>
      </c>
      <c r="K94" s="77" t="s">
        <v>3</v>
      </c>
      <c r="L94" s="74" t="s">
        <v>83</v>
      </c>
      <c r="M94" s="75" t="s">
        <v>28</v>
      </c>
      <c r="N94" s="74" t="s">
        <v>75</v>
      </c>
      <c r="O94" s="73"/>
      <c r="P94" s="72" t="s">
        <v>48</v>
      </c>
      <c r="Q94" s="71" t="s">
        <v>47</v>
      </c>
      <c r="R94" s="70">
        <v>2</v>
      </c>
      <c r="S94" s="69">
        <v>3</v>
      </c>
    </row>
    <row r="95" spans="1:24" ht="27.6" x14ac:dyDescent="0.3">
      <c r="A95" s="78">
        <f>COUNTA($B$12:B95)</f>
        <v>74</v>
      </c>
      <c r="B95" s="77" t="s">
        <v>82</v>
      </c>
      <c r="C95" s="74" t="s">
        <v>81</v>
      </c>
      <c r="D95" s="74" t="s">
        <v>80</v>
      </c>
      <c r="E95" s="77">
        <v>3</v>
      </c>
      <c r="F95" s="77">
        <v>30</v>
      </c>
      <c r="G95" s="77">
        <v>30</v>
      </c>
      <c r="H95" s="77">
        <v>0</v>
      </c>
      <c r="I95" s="77">
        <v>0</v>
      </c>
      <c r="J95" s="77" t="s">
        <v>19</v>
      </c>
      <c r="K95" s="76" t="s">
        <v>3</v>
      </c>
      <c r="L95" s="74" t="s">
        <v>79</v>
      </c>
      <c r="M95" s="75" t="s">
        <v>28</v>
      </c>
      <c r="N95" s="74" t="s">
        <v>75</v>
      </c>
      <c r="O95" s="73"/>
      <c r="P95" s="72" t="s">
        <v>48</v>
      </c>
      <c r="Q95" s="71" t="s">
        <v>47</v>
      </c>
      <c r="R95" s="70">
        <v>2</v>
      </c>
      <c r="S95" s="69">
        <v>3</v>
      </c>
      <c r="T95" s="47"/>
    </row>
    <row r="96" spans="1:24" s="47" customFormat="1" ht="27.6" x14ac:dyDescent="0.3">
      <c r="A96" s="78">
        <f>COUNTA($B$12:B96)</f>
        <v>75</v>
      </c>
      <c r="B96" s="77" t="s">
        <v>78</v>
      </c>
      <c r="C96" s="74" t="s">
        <v>77</v>
      </c>
      <c r="D96" s="74" t="s">
        <v>76</v>
      </c>
      <c r="E96" s="77">
        <v>3</v>
      </c>
      <c r="F96" s="77">
        <v>30</v>
      </c>
      <c r="G96" s="77">
        <v>30</v>
      </c>
      <c r="H96" s="77">
        <v>0</v>
      </c>
      <c r="I96" s="77">
        <v>0</v>
      </c>
      <c r="J96" s="77" t="s">
        <v>19</v>
      </c>
      <c r="K96" s="76" t="s">
        <v>3</v>
      </c>
      <c r="L96" s="74" t="s">
        <v>54</v>
      </c>
      <c r="M96" s="75" t="s">
        <v>28</v>
      </c>
      <c r="N96" s="74" t="s">
        <v>75</v>
      </c>
      <c r="O96" s="73"/>
      <c r="P96" s="72" t="s">
        <v>48</v>
      </c>
      <c r="Q96" s="71" t="s">
        <v>47</v>
      </c>
      <c r="R96" s="70">
        <v>2</v>
      </c>
      <c r="S96" s="69">
        <v>3</v>
      </c>
      <c r="U96" s="2"/>
      <c r="V96" s="2"/>
      <c r="W96" s="1"/>
      <c r="X96" s="1"/>
    </row>
    <row r="97" spans="1:25" s="41" customFormat="1" ht="21.6" customHeight="1" x14ac:dyDescent="0.3">
      <c r="A97" s="68" t="s">
        <v>74</v>
      </c>
      <c r="B97" s="66"/>
      <c r="C97" s="66"/>
      <c r="D97" s="66"/>
      <c r="E97" s="67">
        <v>9</v>
      </c>
      <c r="F97" s="67" t="s">
        <v>73</v>
      </c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U97" s="2"/>
      <c r="V97" s="2"/>
    </row>
    <row r="98" spans="1:25" s="47" customFormat="1" ht="43.2" x14ac:dyDescent="0.3">
      <c r="A98" s="56">
        <v>1</v>
      </c>
      <c r="B98" s="54" t="s">
        <v>72</v>
      </c>
      <c r="C98" s="55" t="s">
        <v>71</v>
      </c>
      <c r="D98" s="63" t="s">
        <v>70</v>
      </c>
      <c r="E98" s="54">
        <v>3</v>
      </c>
      <c r="F98" s="54">
        <v>30</v>
      </c>
      <c r="G98" s="54">
        <v>30</v>
      </c>
      <c r="H98" s="54">
        <v>0</v>
      </c>
      <c r="I98" s="54">
        <v>0</v>
      </c>
      <c r="J98" s="54" t="s">
        <v>30</v>
      </c>
      <c r="K98" s="51" t="s">
        <v>3</v>
      </c>
      <c r="L98" s="63" t="s">
        <v>69</v>
      </c>
      <c r="M98" s="53" t="s">
        <v>28</v>
      </c>
      <c r="N98" s="63" t="s">
        <v>27</v>
      </c>
      <c r="O98" s="61"/>
      <c r="P98" s="60" t="s">
        <v>53</v>
      </c>
      <c r="Q98" s="59" t="s">
        <v>52</v>
      </c>
      <c r="R98" s="58">
        <v>2</v>
      </c>
      <c r="S98" s="57">
        <v>2</v>
      </c>
      <c r="U98" s="2"/>
      <c r="V98" s="2"/>
      <c r="W98" s="1"/>
      <c r="X98" s="1"/>
    </row>
    <row r="99" spans="1:25" ht="28.8" x14ac:dyDescent="0.3">
      <c r="A99" s="56">
        <v>2</v>
      </c>
      <c r="B99" s="54" t="s">
        <v>68</v>
      </c>
      <c r="C99" s="55" t="s">
        <v>67</v>
      </c>
      <c r="D99" s="63" t="s">
        <v>66</v>
      </c>
      <c r="E99" s="54">
        <v>3</v>
      </c>
      <c r="F99" s="54">
        <v>30</v>
      </c>
      <c r="G99" s="54">
        <v>30</v>
      </c>
      <c r="H99" s="54">
        <v>0</v>
      </c>
      <c r="I99" s="54">
        <v>0</v>
      </c>
      <c r="J99" s="54" t="s">
        <v>30</v>
      </c>
      <c r="K99" s="51" t="s">
        <v>3</v>
      </c>
      <c r="L99" s="63" t="s">
        <v>65</v>
      </c>
      <c r="M99" s="62" t="s">
        <v>28</v>
      </c>
      <c r="N99" s="53" t="s">
        <v>27</v>
      </c>
      <c r="O99" s="61"/>
      <c r="P99" s="60" t="s">
        <v>38</v>
      </c>
      <c r="Q99" s="59" t="s">
        <v>37</v>
      </c>
      <c r="R99" s="58">
        <v>3</v>
      </c>
      <c r="S99" s="57">
        <v>2</v>
      </c>
      <c r="T99" s="47"/>
    </row>
    <row r="100" spans="1:25" ht="27.6" x14ac:dyDescent="0.3">
      <c r="A100" s="56">
        <v>3</v>
      </c>
      <c r="B100" s="54" t="s">
        <v>64</v>
      </c>
      <c r="C100" s="63" t="s">
        <v>63</v>
      </c>
      <c r="D100" s="63" t="s">
        <v>62</v>
      </c>
      <c r="E100" s="54">
        <v>3</v>
      </c>
      <c r="F100" s="54">
        <v>30</v>
      </c>
      <c r="G100" s="54">
        <v>30</v>
      </c>
      <c r="H100" s="54">
        <v>0</v>
      </c>
      <c r="I100" s="54">
        <v>0</v>
      </c>
      <c r="J100" s="54" t="s">
        <v>30</v>
      </c>
      <c r="K100" s="54" t="s">
        <v>3</v>
      </c>
      <c r="L100" s="63" t="s">
        <v>61</v>
      </c>
      <c r="M100" s="53" t="s">
        <v>28</v>
      </c>
      <c r="N100" s="63" t="s">
        <v>27</v>
      </c>
      <c r="O100" s="61"/>
      <c r="P100" s="60" t="s">
        <v>38</v>
      </c>
      <c r="Q100" s="64" t="s">
        <v>37</v>
      </c>
      <c r="R100" s="58">
        <v>1</v>
      </c>
      <c r="S100" s="57">
        <v>3</v>
      </c>
      <c r="T100" s="47"/>
    </row>
    <row r="101" spans="1:25" ht="27.6" x14ac:dyDescent="0.3">
      <c r="A101" s="56">
        <v>4</v>
      </c>
      <c r="B101" s="54" t="s">
        <v>60</v>
      </c>
      <c r="C101" s="63" t="s">
        <v>59</v>
      </c>
      <c r="D101" s="63" t="s">
        <v>58</v>
      </c>
      <c r="E101" s="54">
        <v>3</v>
      </c>
      <c r="F101" s="54">
        <v>30</v>
      </c>
      <c r="G101" s="54">
        <v>30</v>
      </c>
      <c r="H101" s="54">
        <v>0</v>
      </c>
      <c r="I101" s="54">
        <v>0</v>
      </c>
      <c r="J101" s="54" t="s">
        <v>30</v>
      </c>
      <c r="K101" s="51" t="s">
        <v>3</v>
      </c>
      <c r="L101" s="53" t="s">
        <v>3</v>
      </c>
      <c r="M101" s="62" t="s">
        <v>28</v>
      </c>
      <c r="N101" s="53" t="s">
        <v>27</v>
      </c>
      <c r="O101" s="65"/>
      <c r="P101" s="60" t="s">
        <v>38</v>
      </c>
      <c r="Q101" s="64" t="s">
        <v>47</v>
      </c>
      <c r="R101" s="58">
        <v>1</v>
      </c>
      <c r="S101" s="57">
        <v>3</v>
      </c>
    </row>
    <row r="102" spans="1:25" s="47" customFormat="1" ht="41.4" x14ac:dyDescent="0.3">
      <c r="A102" s="56">
        <v>5</v>
      </c>
      <c r="B102" s="54" t="s">
        <v>57</v>
      </c>
      <c r="C102" s="63" t="s">
        <v>56</v>
      </c>
      <c r="D102" s="63" t="s">
        <v>55</v>
      </c>
      <c r="E102" s="54">
        <v>3</v>
      </c>
      <c r="F102" s="54">
        <v>30</v>
      </c>
      <c r="G102" s="54">
        <v>30</v>
      </c>
      <c r="H102" s="54">
        <v>0</v>
      </c>
      <c r="I102" s="54">
        <v>0</v>
      </c>
      <c r="J102" s="54" t="s">
        <v>30</v>
      </c>
      <c r="K102" s="51" t="s">
        <v>3</v>
      </c>
      <c r="L102" s="63" t="s">
        <v>54</v>
      </c>
      <c r="M102" s="53" t="s">
        <v>28</v>
      </c>
      <c r="N102" s="63" t="s">
        <v>27</v>
      </c>
      <c r="O102" s="61"/>
      <c r="P102" s="60" t="s">
        <v>53</v>
      </c>
      <c r="Q102" s="64" t="s">
        <v>52</v>
      </c>
      <c r="R102" s="58">
        <v>1</v>
      </c>
      <c r="S102" s="57">
        <v>3</v>
      </c>
      <c r="U102" s="2"/>
      <c r="V102" s="2"/>
      <c r="W102" s="1"/>
      <c r="X102" s="1"/>
    </row>
    <row r="103" spans="1:25" ht="30" customHeight="1" x14ac:dyDescent="0.3">
      <c r="A103" s="56">
        <v>6</v>
      </c>
      <c r="B103" s="54" t="s">
        <v>51</v>
      </c>
      <c r="C103" s="63" t="s">
        <v>50</v>
      </c>
      <c r="D103" s="63" t="s">
        <v>49</v>
      </c>
      <c r="E103" s="54">
        <v>3</v>
      </c>
      <c r="F103" s="54">
        <v>30</v>
      </c>
      <c r="G103" s="54">
        <v>30</v>
      </c>
      <c r="H103" s="54">
        <v>0</v>
      </c>
      <c r="I103" s="54">
        <v>0</v>
      </c>
      <c r="J103" s="54" t="s">
        <v>30</v>
      </c>
      <c r="K103" s="51" t="s">
        <v>3</v>
      </c>
      <c r="L103" s="63" t="s">
        <v>3</v>
      </c>
      <c r="M103" s="53" t="s">
        <v>28</v>
      </c>
      <c r="N103" s="63" t="s">
        <v>27</v>
      </c>
      <c r="O103" s="61"/>
      <c r="P103" s="60" t="s">
        <v>48</v>
      </c>
      <c r="Q103" s="64" t="s">
        <v>47</v>
      </c>
      <c r="R103" s="58">
        <v>1</v>
      </c>
      <c r="S103" s="57">
        <v>3</v>
      </c>
    </row>
    <row r="104" spans="1:25" s="47" customFormat="1" ht="27.6" x14ac:dyDescent="0.3">
      <c r="A104" s="56">
        <v>7</v>
      </c>
      <c r="B104" s="54" t="s">
        <v>46</v>
      </c>
      <c r="C104" s="63" t="s">
        <v>45</v>
      </c>
      <c r="D104" s="63" t="s">
        <v>44</v>
      </c>
      <c r="E104" s="54">
        <v>3</v>
      </c>
      <c r="F104" s="54">
        <v>30</v>
      </c>
      <c r="G104" s="54">
        <v>30</v>
      </c>
      <c r="H104" s="54">
        <v>0</v>
      </c>
      <c r="I104" s="54">
        <v>0</v>
      </c>
      <c r="J104" s="54" t="s">
        <v>30</v>
      </c>
      <c r="K104" s="51" t="s">
        <v>3</v>
      </c>
      <c r="L104" s="53" t="s">
        <v>43</v>
      </c>
      <c r="M104" s="62" t="s">
        <v>28</v>
      </c>
      <c r="N104" s="53" t="s">
        <v>27</v>
      </c>
      <c r="O104" s="65"/>
      <c r="P104" s="60" t="s">
        <v>38</v>
      </c>
      <c r="Q104" s="64" t="s">
        <v>37</v>
      </c>
      <c r="R104" s="58">
        <v>2</v>
      </c>
      <c r="S104" s="57">
        <v>3</v>
      </c>
      <c r="T104" s="1"/>
      <c r="U104" s="2"/>
      <c r="V104" s="2"/>
      <c r="W104" s="1"/>
      <c r="X104" s="1"/>
    </row>
    <row r="105" spans="1:25" s="47" customFormat="1" ht="27.6" x14ac:dyDescent="0.3">
      <c r="A105" s="56">
        <v>8</v>
      </c>
      <c r="B105" s="54" t="s">
        <v>42</v>
      </c>
      <c r="C105" s="63" t="s">
        <v>41</v>
      </c>
      <c r="D105" s="63" t="s">
        <v>40</v>
      </c>
      <c r="E105" s="54">
        <v>3</v>
      </c>
      <c r="F105" s="54">
        <v>30</v>
      </c>
      <c r="G105" s="54">
        <v>30</v>
      </c>
      <c r="H105" s="54">
        <v>0</v>
      </c>
      <c r="I105" s="54">
        <v>0</v>
      </c>
      <c r="J105" s="54" t="s">
        <v>30</v>
      </c>
      <c r="K105" s="54" t="s">
        <v>3</v>
      </c>
      <c r="L105" s="63" t="s">
        <v>39</v>
      </c>
      <c r="M105" s="53" t="s">
        <v>28</v>
      </c>
      <c r="N105" s="63" t="s">
        <v>27</v>
      </c>
      <c r="O105" s="61"/>
      <c r="P105" s="60" t="s">
        <v>38</v>
      </c>
      <c r="Q105" s="64" t="s">
        <v>37</v>
      </c>
      <c r="R105" s="58">
        <v>2</v>
      </c>
      <c r="S105" s="57">
        <v>3</v>
      </c>
      <c r="T105" s="1"/>
      <c r="U105" s="2"/>
      <c r="V105" s="2"/>
      <c r="W105" s="1"/>
      <c r="X105" s="1"/>
    </row>
    <row r="106" spans="1:25" s="47" customFormat="1" ht="39.6" x14ac:dyDescent="0.3">
      <c r="A106" s="56">
        <v>9</v>
      </c>
      <c r="B106" s="54" t="s">
        <v>36</v>
      </c>
      <c r="C106" s="55" t="s">
        <v>35</v>
      </c>
      <c r="D106" s="63" t="s">
        <v>34</v>
      </c>
      <c r="E106" s="54">
        <v>3</v>
      </c>
      <c r="F106" s="54">
        <v>30</v>
      </c>
      <c r="G106" s="54">
        <v>30</v>
      </c>
      <c r="H106" s="54">
        <v>0</v>
      </c>
      <c r="I106" s="54">
        <v>0</v>
      </c>
      <c r="J106" s="54" t="s">
        <v>30</v>
      </c>
      <c r="K106" s="51" t="s">
        <v>3</v>
      </c>
      <c r="L106" s="63" t="s">
        <v>29</v>
      </c>
      <c r="M106" s="62" t="s">
        <v>28</v>
      </c>
      <c r="N106" s="53" t="s">
        <v>27</v>
      </c>
      <c r="O106" s="61" t="s">
        <v>26</v>
      </c>
      <c r="P106" s="60" t="s">
        <v>25</v>
      </c>
      <c r="Q106" s="59" t="s">
        <v>24</v>
      </c>
      <c r="R106" s="58">
        <v>2</v>
      </c>
      <c r="S106" s="57">
        <v>3</v>
      </c>
      <c r="T106" s="1"/>
      <c r="U106" s="2"/>
      <c r="V106" s="2"/>
      <c r="W106" s="1"/>
      <c r="X106" s="1"/>
    </row>
    <row r="107" spans="1:25" s="47" customFormat="1" ht="41.4" x14ac:dyDescent="0.3">
      <c r="A107" s="56">
        <v>10</v>
      </c>
      <c r="B107" s="54" t="s">
        <v>33</v>
      </c>
      <c r="C107" s="55" t="s">
        <v>32</v>
      </c>
      <c r="D107" s="55" t="s">
        <v>31</v>
      </c>
      <c r="E107" s="51">
        <v>3</v>
      </c>
      <c r="F107" s="54">
        <v>30</v>
      </c>
      <c r="G107" s="54">
        <v>30</v>
      </c>
      <c r="H107" s="54">
        <v>0</v>
      </c>
      <c r="I107" s="54">
        <v>0</v>
      </c>
      <c r="J107" s="54" t="s">
        <v>30</v>
      </c>
      <c r="K107" s="54" t="s">
        <v>3</v>
      </c>
      <c r="L107" s="51" t="s">
        <v>29</v>
      </c>
      <c r="M107" s="53" t="s">
        <v>28</v>
      </c>
      <c r="N107" s="53" t="s">
        <v>27</v>
      </c>
      <c r="O107" s="52" t="s">
        <v>26</v>
      </c>
      <c r="P107" s="51" t="s">
        <v>25</v>
      </c>
      <c r="Q107" s="50" t="s">
        <v>24</v>
      </c>
      <c r="R107" s="49">
        <v>2</v>
      </c>
      <c r="S107" s="48">
        <v>3</v>
      </c>
      <c r="T107" s="6"/>
      <c r="U107" s="2"/>
      <c r="V107" s="2"/>
      <c r="W107" s="1"/>
      <c r="X107" s="1"/>
      <c r="Y107" s="1"/>
    </row>
    <row r="108" spans="1:25" s="41" customFormat="1" ht="21.6" customHeight="1" x14ac:dyDescent="0.3">
      <c r="A108" s="44" t="s">
        <v>23</v>
      </c>
      <c r="B108" s="42"/>
      <c r="C108" s="42"/>
      <c r="D108" s="42"/>
      <c r="E108" s="43">
        <v>4</v>
      </c>
      <c r="F108" s="43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U108" s="2"/>
      <c r="V108" s="2"/>
    </row>
    <row r="109" spans="1:25" ht="20.100000000000001" customHeight="1" x14ac:dyDescent="0.3">
      <c r="A109" s="40">
        <f>COUNTA($B$12:B109)</f>
        <v>86</v>
      </c>
      <c r="B109" s="36" t="s">
        <v>22</v>
      </c>
      <c r="C109" s="37" t="s">
        <v>21</v>
      </c>
      <c r="D109" s="37" t="s">
        <v>20</v>
      </c>
      <c r="E109" s="36">
        <v>4</v>
      </c>
      <c r="F109" s="36">
        <v>0</v>
      </c>
      <c r="G109" s="36">
        <v>0</v>
      </c>
      <c r="H109" s="36">
        <v>0</v>
      </c>
      <c r="I109" s="36">
        <f>E109*45</f>
        <v>180</v>
      </c>
      <c r="J109" s="39" t="s">
        <v>19</v>
      </c>
      <c r="K109" s="45" t="s">
        <v>3</v>
      </c>
      <c r="L109" s="46" t="s">
        <v>18</v>
      </c>
      <c r="M109" s="38" t="s">
        <v>17</v>
      </c>
      <c r="N109" s="38"/>
      <c r="O109" s="45"/>
      <c r="P109" s="45"/>
      <c r="Q109" s="45"/>
      <c r="R109" s="36">
        <v>3</v>
      </c>
      <c r="S109" s="35">
        <v>3</v>
      </c>
    </row>
    <row r="110" spans="1:25" s="41" customFormat="1" ht="21.6" customHeight="1" x14ac:dyDescent="0.3">
      <c r="A110" s="44" t="s">
        <v>16</v>
      </c>
      <c r="B110" s="42"/>
      <c r="C110" s="42"/>
      <c r="D110" s="42"/>
      <c r="E110" s="43">
        <v>6</v>
      </c>
      <c r="F110" s="43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U110" s="2"/>
      <c r="V110" s="2"/>
    </row>
    <row r="111" spans="1:25" ht="43.2" x14ac:dyDescent="0.3">
      <c r="A111" s="40">
        <f>COUNTA($B$12:B111)</f>
        <v>87</v>
      </c>
      <c r="B111" s="36" t="s">
        <v>15</v>
      </c>
      <c r="C111" s="37" t="s">
        <v>14</v>
      </c>
      <c r="D111" s="38" t="s">
        <v>13</v>
      </c>
      <c r="E111" s="39">
        <v>6</v>
      </c>
      <c r="F111" s="36">
        <v>0</v>
      </c>
      <c r="G111" s="39">
        <v>0</v>
      </c>
      <c r="H111" s="36">
        <f>E111*30</f>
        <v>180</v>
      </c>
      <c r="I111" s="39">
        <v>0</v>
      </c>
      <c r="J111" s="36" t="s">
        <v>4</v>
      </c>
      <c r="K111" s="37" t="s">
        <v>12</v>
      </c>
      <c r="L111" s="37" t="s">
        <v>2</v>
      </c>
      <c r="M111" s="38" t="s">
        <v>1</v>
      </c>
      <c r="N111" s="38"/>
      <c r="O111" s="37" t="s">
        <v>11</v>
      </c>
      <c r="P111" s="36"/>
      <c r="Q111" s="37"/>
      <c r="R111" s="36">
        <v>1</v>
      </c>
      <c r="S111" s="35">
        <v>4</v>
      </c>
    </row>
    <row r="112" spans="1:25" s="15" customFormat="1" ht="50.4" x14ac:dyDescent="0.3">
      <c r="A112" s="31">
        <v>3</v>
      </c>
      <c r="B112" s="29" t="s">
        <v>10</v>
      </c>
      <c r="C112" s="34" t="s">
        <v>9</v>
      </c>
      <c r="D112" s="33" t="s">
        <v>8</v>
      </c>
      <c r="E112" s="28">
        <v>3</v>
      </c>
      <c r="F112" s="29">
        <v>0</v>
      </c>
      <c r="G112" s="28">
        <v>0</v>
      </c>
      <c r="H112" s="29">
        <v>90</v>
      </c>
      <c r="I112" s="28"/>
      <c r="J112" s="27" t="s">
        <v>4</v>
      </c>
      <c r="K112" s="26" t="s">
        <v>3</v>
      </c>
      <c r="L112" s="25" t="s">
        <v>2</v>
      </c>
      <c r="M112" s="24" t="s">
        <v>1</v>
      </c>
      <c r="N112" s="23" t="s">
        <v>0</v>
      </c>
      <c r="O112" s="32"/>
      <c r="P112" s="21"/>
      <c r="Q112" s="20"/>
      <c r="R112" s="19">
        <v>1</v>
      </c>
      <c r="S112" s="18">
        <v>4</v>
      </c>
      <c r="U112" s="17">
        <f>_xlfn.XLOOKUP(B112,'[1]KHGD_CNTT-K32'!$D$9:$D$89,'[1]KHGD_CNTT-K32'!$B$9:$B$89)</f>
        <v>10</v>
      </c>
      <c r="V112" s="17">
        <f>_xlfn.XLOOKUP(B112,'[1]KHGD_CNTT-K32'!$D$9:$D$89,'[1]KHGD_CNTT-K32'!$C$9:$C$89)</f>
        <v>4</v>
      </c>
      <c r="W112" s="15" t="str">
        <f>"HK" &amp; 25+V112 &amp; U112</f>
        <v>HK2910</v>
      </c>
      <c r="X112" s="16" t="str">
        <f>LEFT($A$101,2) &amp; "."&amp; TEXT(A112,"00") &amp; "_" &amp; B112 &amp; "-" &amp;C112 &amp; "(" &amp; E112 &amp; ")"</f>
        <v>4.03_71ITGR40203-Chuyên đề Tốt nghiệp 1(3)</v>
      </c>
    </row>
    <row r="113" spans="1:24" s="15" customFormat="1" ht="50.4" x14ac:dyDescent="0.3">
      <c r="A113" s="31">
        <v>4</v>
      </c>
      <c r="B113" s="29" t="s">
        <v>7</v>
      </c>
      <c r="C113" s="30" t="s">
        <v>6</v>
      </c>
      <c r="D113" s="23" t="s">
        <v>5</v>
      </c>
      <c r="E113" s="28">
        <v>3</v>
      </c>
      <c r="F113" s="29">
        <v>0</v>
      </c>
      <c r="G113" s="28">
        <v>0</v>
      </c>
      <c r="H113" s="29">
        <v>90</v>
      </c>
      <c r="I113" s="28"/>
      <c r="J113" s="27" t="s">
        <v>4</v>
      </c>
      <c r="K113" s="26" t="s">
        <v>3</v>
      </c>
      <c r="L113" s="25" t="s">
        <v>2</v>
      </c>
      <c r="M113" s="24" t="s">
        <v>1</v>
      </c>
      <c r="N113" s="23" t="s">
        <v>0</v>
      </c>
      <c r="O113" s="22"/>
      <c r="P113" s="21"/>
      <c r="Q113" s="20"/>
      <c r="R113" s="19">
        <v>1</v>
      </c>
      <c r="S113" s="18">
        <v>4</v>
      </c>
      <c r="U113" s="17">
        <f>_xlfn.XLOOKUP(B113,'[1]KHGD_CNTT-K32'!$D$9:$D$89,'[1]KHGD_CNTT-K32'!$B$9:$B$89)</f>
        <v>10</v>
      </c>
      <c r="V113" s="17">
        <f>_xlfn.XLOOKUP(B113,'[1]KHGD_CNTT-K32'!$D$9:$D$89,'[1]KHGD_CNTT-K32'!$C$9:$C$89)</f>
        <v>4</v>
      </c>
      <c r="W113" s="15" t="str">
        <f>"HK" &amp; 25+V113 &amp; U113</f>
        <v>HK2910</v>
      </c>
      <c r="X113" s="16" t="str">
        <f>LEFT($A$101,2) &amp; "."&amp; TEXT(A113,"00") &amp; "_" &amp; B113 &amp; "-" &amp;C113 &amp; "(" &amp; E113 &amp; ")"</f>
        <v>4.04_71ITGR40303-Chuyên đề Tốt nghiệp 2(3)</v>
      </c>
    </row>
    <row r="114" spans="1:24" ht="15" thickBot="1" x14ac:dyDescent="0.35">
      <c r="A114" s="14"/>
      <c r="B114" s="12"/>
      <c r="C114" s="13"/>
      <c r="D114" s="13"/>
      <c r="E114" s="12"/>
      <c r="F114" s="12"/>
      <c r="G114" s="12"/>
      <c r="H114" s="12"/>
      <c r="I114" s="12"/>
      <c r="J114" s="10"/>
      <c r="K114" s="8"/>
      <c r="L114" s="11"/>
      <c r="M114" s="10"/>
      <c r="N114" s="9"/>
      <c r="O114" s="8"/>
      <c r="P114" s="8"/>
      <c r="Q114" s="8"/>
      <c r="R114" s="8"/>
      <c r="S114" s="7"/>
    </row>
  </sheetData>
  <conditionalFormatting sqref="A64:L64 A91:C94 A32:O52 A55:O62 M64:O66 A66 A68 A70 A72 A74">
    <cfRule type="expression" dxfId="31" priority="32">
      <formula>#REF!&gt;=1</formula>
    </cfRule>
  </conditionalFormatting>
  <conditionalFormatting sqref="A12:O30">
    <cfRule type="expression" dxfId="30" priority="8">
      <formula>#REF!&gt;=1</formula>
    </cfRule>
  </conditionalFormatting>
  <conditionalFormatting sqref="A84:O84">
    <cfRule type="expression" dxfId="29" priority="7">
      <formula>#REF!&gt;=1</formula>
    </cfRule>
  </conditionalFormatting>
  <conditionalFormatting sqref="A95:O96">
    <cfRule type="expression" dxfId="28" priority="12">
      <formula>#REF!&gt;=1</formula>
    </cfRule>
  </conditionalFormatting>
  <conditionalFormatting sqref="A98:O99 B100:O103 A100:A107">
    <cfRule type="expression" dxfId="27" priority="19">
      <formula>#REF!&gt;=1</formula>
    </cfRule>
  </conditionalFormatting>
  <conditionalFormatting sqref="B68:B74 B64:B66 B77:B89">
    <cfRule type="expression" dxfId="26" priority="29">
      <formula>#REF!=1</formula>
    </cfRule>
  </conditionalFormatting>
  <conditionalFormatting sqref="B79 M77:O77">
    <cfRule type="expression" dxfId="25" priority="30">
      <formula>#REF!&gt;=1</formula>
    </cfRule>
  </conditionalFormatting>
  <conditionalFormatting sqref="B91:B96 J98:J104 D93:O93 B98:B103 C99:I101 K99:K101">
    <cfRule type="expression" dxfId="24" priority="18">
      <formula>#REF!=1</formula>
    </cfRule>
  </conditionalFormatting>
  <conditionalFormatting sqref="B68:H74 K69:L71 K68 K72:K74">
    <cfRule type="expression" dxfId="23" priority="23">
      <formula>#REF!&gt;=1</formula>
    </cfRule>
  </conditionalFormatting>
  <conditionalFormatting sqref="B80:K83">
    <cfRule type="expression" dxfId="22" priority="14">
      <formula>#REF!&gt;=1</formula>
    </cfRule>
  </conditionalFormatting>
  <conditionalFormatting sqref="C112">
    <cfRule type="expression" dxfId="21" priority="2">
      <formula>#REF!=1</formula>
    </cfRule>
  </conditionalFormatting>
  <conditionalFormatting sqref="C112:C113">
    <cfRule type="expression" dxfId="20" priority="1">
      <formula>#REF!&gt;=1</formula>
    </cfRule>
  </conditionalFormatting>
  <conditionalFormatting sqref="C79:K79">
    <cfRule type="expression" dxfId="19" priority="28">
      <formula>#REF!&gt;=1</formula>
    </cfRule>
  </conditionalFormatting>
  <conditionalFormatting sqref="D104:J106">
    <cfRule type="expression" dxfId="18" priority="11">
      <formula>#REF!&gt;=1</formula>
    </cfRule>
  </conditionalFormatting>
  <conditionalFormatting sqref="D93:O94 A85:O89 B65:L66 M69:O71 B77:K78 D91:K92">
    <cfRule type="expression" dxfId="17" priority="20">
      <formula>#REF!&gt;=1</formula>
    </cfRule>
  </conditionalFormatting>
  <conditionalFormatting sqref="E90">
    <cfRule type="expression" dxfId="16" priority="5">
      <formula>#REF!&gt;=1</formula>
    </cfRule>
  </conditionalFormatting>
  <conditionalFormatting sqref="I68:J74">
    <cfRule type="expression" dxfId="15" priority="15">
      <formula>#REF!&gt;=1</formula>
    </cfRule>
  </conditionalFormatting>
  <conditionalFormatting sqref="J86">
    <cfRule type="expression" dxfId="14" priority="31">
      <formula>#REF!=1</formula>
    </cfRule>
  </conditionalFormatting>
  <conditionalFormatting sqref="K79:K82 L77 L78:O82">
    <cfRule type="expression" dxfId="13" priority="16">
      <formula>$J77="x"</formula>
    </cfRule>
  </conditionalFormatting>
  <conditionalFormatting sqref="L61">
    <cfRule type="expression" dxfId="12" priority="17">
      <formula>#REF!&gt;=1</formula>
    </cfRule>
  </conditionalFormatting>
  <conditionalFormatting sqref="L91">
    <cfRule type="expression" dxfId="11" priority="25">
      <formula>$J91="x"</formula>
    </cfRule>
  </conditionalFormatting>
  <conditionalFormatting sqref="L59:O59">
    <cfRule type="expression" dxfId="10" priority="26">
      <formula>#REF!&gt;=1</formula>
    </cfRule>
  </conditionalFormatting>
  <conditionalFormatting sqref="L70:O70 C84:C89 L93:O94 L98:O98 C91:C96 C68 C70 C72:C74 M91:O91">
    <cfRule type="expression" dxfId="9" priority="22">
      <formula>$J68="x"</formula>
    </cfRule>
  </conditionalFormatting>
  <conditionalFormatting sqref="L72:O74">
    <cfRule type="expression" dxfId="8" priority="21">
      <formula>$J72="x"</formula>
    </cfRule>
  </conditionalFormatting>
  <conditionalFormatting sqref="L84:O85">
    <cfRule type="expression" dxfId="7" priority="6">
      <formula>$J84="x"</formula>
    </cfRule>
  </conditionalFormatting>
  <conditionalFormatting sqref="L87:O89">
    <cfRule type="expression" dxfId="6" priority="13">
      <formula>$J87="x"</formula>
    </cfRule>
  </conditionalFormatting>
  <conditionalFormatting sqref="L91:O92">
    <cfRule type="expression" dxfId="5" priority="24">
      <formula>#REF!&gt;=1</formula>
    </cfRule>
  </conditionalFormatting>
  <conditionalFormatting sqref="L101:O103 C103 L67:O68">
    <cfRule type="expression" dxfId="4" priority="27">
      <formula>$J67="x"</formula>
    </cfRule>
  </conditionalFormatting>
  <conditionalFormatting sqref="M104:N104">
    <cfRule type="expression" dxfId="3" priority="9">
      <formula>#REF!&gt;=1</formula>
    </cfRule>
    <cfRule type="expression" dxfId="2" priority="10">
      <formula>$J104="x"</formula>
    </cfRule>
  </conditionalFormatting>
  <conditionalFormatting sqref="O112:O113">
    <cfRule type="expression" dxfId="1" priority="4">
      <formula>$J112="x"</formula>
    </cfRule>
  </conditionalFormatting>
  <conditionalFormatting sqref="O113">
    <cfRule type="expression" dxfId="0" priority="3">
      <formula>#REF!&gt;=1</formula>
    </cfRule>
  </conditionalFormatting>
  <pageMargins left="0.15748031496062992" right="0.15748031496062992" top="0.15748031496062992" bottom="0.15748031496062992" header="0.15748031496062992" footer="0.15748031496062992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CTĐT_CNTT_K31</vt:lpstr>
      <vt:lpstr>CTĐT_CNTT_K31!Print_Area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Hòa Đào</dc:creator>
  <cp:lastModifiedBy>Hòa Đào</cp:lastModifiedBy>
  <dcterms:created xsi:type="dcterms:W3CDTF">2026-09-15T07:33:55Z</dcterms:created>
  <dcterms:modified xsi:type="dcterms:W3CDTF">2026-09-15T07:35:00Z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2026-09-15T07:34:50Z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4037b062-1db2-4245-96b1-84b6ba8bf3e2</vt:lpwstr>
  </property>
  <property fmtid="{D5CDD505-2E9C-101B-9397-08002B2CF9AE}" pid="7" name="MSIP_Label_defa4170-0d19-0005-0004-bc88714345d2_ActionId">
    <vt:lpwstr>757f72f5-9528-4741-90af-6ee449c7e6e6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
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oadao05-my.sharepoint.com/personal/hoadao051_hoapro_io/Documents/"/>
    </mc:Choice>
  </mc:AlternateContent>
  <xr:revisionPtr revIDLastSave="0" documentId="8_{265F0FD7-5B18-4127-9DB5-F46A3A267D3D}" xr6:coauthVersionLast="47" xr6:coauthVersionMax="47" xr10:uidLastSave="{00000000-0000-0000-0000-000000000000}"/>
  <bookViews>
    <workbookView xWindow="-108" yWindow="-108" windowWidth="23256" windowHeight="12456" xr2:uid="{B3FC0C94-B01B-4246-B9D9-401D3DB7B82F}"/>
  </bookViews>
  <sheets>
    <sheet name="Ke hoach giảng dạy CNTT" sheetId="2" r:id="rId1"/>
  </sheets>
  <externalReferences>
    <externalReference r:id="rId2"/>
  </externalReferences>
  <definedNames>
    <definedName name="_xlnm._FilterDatabase" localSheetId="0" hidden="1">'Ke hoach giảng dạy CNTT'!$A$7:$M$104</definedName>
    <definedName name="aaa">#REF!</definedName>
    <definedName name="ChungChi" localSheetId="0">[1]ViTriLamViec!#REF!</definedName>
    <definedName name="ChungChi">[1]ViTriLamViec!#REF!</definedName>
    <definedName name="ChuyenNghanh" localSheetId="0">[1]DM_NganhDT!#REF!</definedName>
    <definedName name="ChuyenNghanh">[1]DM_NganhDT!#REF!</definedName>
    <definedName name="CoSoDaoTao" localSheetId="0">#REF!</definedName>
    <definedName name="CoSoDaoTao">#REF!</definedName>
    <definedName name="CoSoDaoTao_" localSheetId="0">#REF!</definedName>
    <definedName name="CoSoDaoTao_">#REF!</definedName>
    <definedName name="DanhMucPhong" localSheetId="0">#REF!</definedName>
    <definedName name="DanhMucPhong">#REF!</definedName>
    <definedName name="DanToc" localSheetId="0">[1]DanToc!#REF!</definedName>
    <definedName name="DanToc">[1]DanToc!#REF!</definedName>
    <definedName name="_xlnm.Print_Area" localSheetId="0">'Ke hoach giảng dạy CNTT'!$A$1:$O$112</definedName>
    <definedName name="_xlnm.Print_Titles" localSheetId="0">'Ke hoach giảng dạy CNTT'!$7:$8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101" i="2" l="1"/>
  <c r="R102" i="2"/>
  <c r="Q102" i="2"/>
  <c r="R103" i="2"/>
  <c r="R100" i="2"/>
  <c r="Q100" i="2"/>
  <c r="Q103" i="2" s="1"/>
  <c r="R99" i="2"/>
  <c r="N99" i="2"/>
  <c r="R98" i="2"/>
  <c r="R97" i="2"/>
  <c r="R96" i="2"/>
  <c r="Q96" i="2"/>
  <c r="R95" i="2"/>
  <c r="N95" i="2"/>
  <c r="R94" i="2"/>
  <c r="R93" i="2"/>
  <c r="R92" i="2"/>
  <c r="R91" i="2"/>
  <c r="R90" i="2"/>
  <c r="R89" i="2"/>
  <c r="R88" i="2"/>
  <c r="R87" i="2"/>
  <c r="R86" i="2"/>
  <c r="R85" i="2"/>
  <c r="R84" i="2"/>
  <c r="R83" i="2"/>
  <c r="R82" i="2"/>
  <c r="R81" i="2"/>
  <c r="R80" i="2"/>
  <c r="R79" i="2"/>
  <c r="R78" i="2"/>
  <c r="Q78" i="2"/>
  <c r="Q79" i="2" s="1"/>
  <c r="Q80" i="2" s="1"/>
  <c r="Q81" i="2" s="1"/>
  <c r="Q82" i="2" s="1"/>
  <c r="Q83" i="2" s="1"/>
  <c r="Q84" i="2" s="1"/>
  <c r="Q85" i="2" s="1"/>
  <c r="Q86" i="2" s="1"/>
  <c r="Q87" i="2" s="1"/>
  <c r="Q88" i="2" s="1"/>
  <c r="Q89" i="2" s="1"/>
  <c r="Q90" i="2" s="1"/>
  <c r="Q91" i="2" s="1"/>
  <c r="Q92" i="2" s="1"/>
  <c r="Q93" i="2" s="1"/>
  <c r="Q94" i="2" s="1"/>
  <c r="R77" i="2"/>
  <c r="N77" i="2"/>
  <c r="R76" i="2"/>
  <c r="R75" i="2"/>
  <c r="R74" i="2"/>
  <c r="R73" i="2"/>
  <c r="R72" i="2"/>
  <c r="R71" i="2"/>
  <c r="R70" i="2"/>
  <c r="R69" i="2"/>
  <c r="R68" i="2"/>
  <c r="R67" i="2"/>
  <c r="R66" i="2"/>
  <c r="R65" i="2"/>
  <c r="R64" i="2"/>
  <c r="R63" i="2"/>
  <c r="R62" i="2"/>
  <c r="R61" i="2"/>
  <c r="R60" i="2"/>
  <c r="Q60" i="2"/>
  <c r="Q61" i="2" s="1"/>
  <c r="Q62" i="2" s="1"/>
  <c r="Q63" i="2" s="1"/>
  <c r="Q64" i="2" s="1"/>
  <c r="Q65" i="2" s="1"/>
  <c r="Q66" i="2" s="1"/>
  <c r="Q67" i="2" s="1"/>
  <c r="Q68" i="2" s="1"/>
  <c r="Q69" i="2" s="1"/>
  <c r="Q70" i="2" s="1"/>
  <c r="Q71" i="2" s="1"/>
  <c r="Q72" i="2" s="1"/>
  <c r="Q73" i="2" s="1"/>
  <c r="Q74" i="2" s="1"/>
  <c r="Q75" i="2" s="1"/>
  <c r="R59" i="2"/>
  <c r="R58" i="2"/>
  <c r="N58" i="2"/>
  <c r="R57" i="2"/>
  <c r="R56" i="2"/>
  <c r="R55" i="2"/>
  <c r="R54" i="2"/>
  <c r="R53" i="2"/>
  <c r="R52" i="2"/>
  <c r="R51" i="2"/>
  <c r="R50" i="2"/>
  <c r="R49" i="2"/>
  <c r="R48" i="2"/>
  <c r="R47" i="2"/>
  <c r="R46" i="2"/>
  <c r="R45" i="2"/>
  <c r="R44" i="2"/>
  <c r="Q44" i="2"/>
  <c r="Q45" i="2" s="1"/>
  <c r="Q46" i="2" s="1"/>
  <c r="Q47" i="2" s="1"/>
  <c r="Q48" i="2" s="1"/>
  <c r="Q49" i="2" s="1"/>
  <c r="Q50" i="2" s="1"/>
  <c r="Q51" i="2" s="1"/>
  <c r="Q52" i="2" s="1"/>
  <c r="Q53" i="2" s="1"/>
  <c r="Q54" i="2" s="1"/>
  <c r="Q55" i="2" s="1"/>
  <c r="Q56" i="2" s="1"/>
  <c r="Q57" i="2" s="1"/>
  <c r="R43" i="2"/>
  <c r="N43" i="2"/>
  <c r="R42" i="2"/>
  <c r="R41" i="2"/>
  <c r="R40" i="2"/>
  <c r="R39" i="2"/>
  <c r="R38" i="2"/>
  <c r="R37" i="2"/>
  <c r="R36" i="2"/>
  <c r="R35" i="2"/>
  <c r="Q35" i="2"/>
  <c r="Q36" i="2" s="1"/>
  <c r="Q37" i="2" s="1"/>
  <c r="Q38" i="2" s="1"/>
  <c r="Q39" i="2" s="1"/>
  <c r="Q40" i="2" s="1"/>
  <c r="Q41" i="2" s="1"/>
  <c r="Q42" i="2" s="1"/>
  <c r="R34" i="2"/>
  <c r="N34" i="2"/>
  <c r="R33" i="2"/>
  <c r="R32" i="2"/>
  <c r="R31" i="2"/>
  <c r="R30" i="2"/>
  <c r="Q30" i="2"/>
  <c r="Q31" i="2" s="1"/>
  <c r="Q32" i="2" s="1"/>
  <c r="Q33" i="2" s="1"/>
  <c r="R29" i="2"/>
  <c r="R28" i="2"/>
  <c r="N28" i="2"/>
  <c r="R27" i="2"/>
  <c r="R26" i="2"/>
  <c r="R25" i="2"/>
  <c r="R24" i="2"/>
  <c r="R23" i="2"/>
  <c r="R22" i="2"/>
  <c r="R21" i="2"/>
  <c r="Q21" i="2"/>
  <c r="Q22" i="2" s="1"/>
  <c r="Q23" i="2" s="1"/>
  <c r="Q24" i="2" s="1"/>
  <c r="Q25" i="2" s="1"/>
  <c r="Q26" i="2" s="1"/>
  <c r="Q27" i="2" s="1"/>
  <c r="R20" i="2"/>
  <c r="R19" i="2"/>
  <c r="N19" i="2"/>
  <c r="R18" i="2"/>
  <c r="R17" i="2"/>
  <c r="R16" i="2"/>
  <c r="Q16" i="2"/>
  <c r="Q17" i="2" s="1"/>
  <c r="Q18" i="2" s="1"/>
  <c r="R15" i="2"/>
  <c r="R14" i="2"/>
  <c r="N14" i="2"/>
  <c r="R13" i="2"/>
  <c r="R12" i="2"/>
  <c r="R11" i="2"/>
  <c r="R10" i="2"/>
  <c r="Q10" i="2"/>
  <c r="Q11" i="2" s="1"/>
  <c r="Q12" i="2" s="1"/>
  <c r="Q13" i="2" s="1"/>
  <c r="N9" i="2"/>
  <c r="Q97" i="2" l="1"/>
  <c r="Q98" i="2"/>
  <c r="Q101" i="2" s="1"/>
  <c r="N4" i="2"/>
  <c r="P14" i="2"/>
  <c r="P19" i="2" s="1"/>
  <c r="P28" i="2" s="1"/>
  <c r="P34" i="2" s="1"/>
  <c r="P43" i="2" s="1"/>
  <c r="P58" i="2" s="1"/>
  <c r="P77" i="2" s="1"/>
  <c r="P95" i="2" s="1"/>
  <c r="P99" i="2" s="1"/>
</calcChain>
</file>

<file path=xl/sharedStrings.xml><?xml version="1.0" encoding="utf-8"?>
<sst xmlns="http://schemas.openxmlformats.org/spreadsheetml/2006/main" count="399" uniqueCount="220">
  <si>
    <t>TRƯỜNG ĐẠI HỌC VĂN LANG</t>
  </si>
  <si>
    <t>KHOA CÔNG NGHỆ THÔNG TIN</t>
  </si>
  <si>
    <t>TT</t>
  </si>
  <si>
    <t>Mã học phần</t>
  </si>
  <si>
    <t>Số tín chỉ</t>
  </si>
  <si>
    <t>LT</t>
  </si>
  <si>
    <t>TH</t>
  </si>
  <si>
    <t>ĐA</t>
  </si>
  <si>
    <t>Ghi chú</t>
  </si>
  <si>
    <t>71LAWG10012</t>
  </si>
  <si>
    <t>Pháp luật đại cương</t>
  </si>
  <si>
    <t>BB</t>
  </si>
  <si>
    <t>Không</t>
  </si>
  <si>
    <t>Không  </t>
  </si>
  <si>
    <t>71SUDE10012</t>
  </si>
  <si>
    <t>Phát triển bền vững</t>
  </si>
  <si>
    <t>71ITMA10104</t>
  </si>
  <si>
    <t>Toán cao cấp và ứng dụng</t>
  </si>
  <si>
    <t>71MATL10053</t>
  </si>
  <si>
    <t>Đại số tuyến tính và ứng dụng</t>
  </si>
  <si>
    <t>71SSK110023</t>
  </si>
  <si>
    <t>Kỹ năng công dân toàn cầu</t>
  </si>
  <si>
    <t>71POLP10013</t>
  </si>
  <si>
    <t>Triết học Mác-Lênin</t>
  </si>
  <si>
    <t>71POLE10022</t>
  </si>
  <si>
    <t>Kinh tế chính trị Mác-Lênin</t>
  </si>
  <si>
    <t>[71POLP10013]Triết học Mác-Lênin</t>
  </si>
  <si>
    <t>71POLS10032</t>
  </si>
  <si>
    <t>Chủ nghĩa xã hội khoa học</t>
  </si>
  <si>
    <t>71POLH10042</t>
  </si>
  <si>
    <t>Tư tưởng Hồ Chí Minh</t>
  </si>
  <si>
    <t>[71POLE10022]Kinh tế chính trị Mác-Lênin, [71POLS10032]Chủ nghĩa xã hội khoa học</t>
  </si>
  <si>
    <t>71POLC10052</t>
  </si>
  <si>
    <t>Lịch sử Đảng Cộng sản Việt Nam</t>
  </si>
  <si>
    <t>71ENG110013</t>
  </si>
  <si>
    <t>Anh văn 1 (AV1)</t>
  </si>
  <si>
    <t>[71ENG010012]Anh văn dự bị (AV0)</t>
  </si>
  <si>
    <t>71ENG210023</t>
  </si>
  <si>
    <t>Anh văn 2 (AV2)</t>
  </si>
  <si>
    <t>[71ENG110013]Anh văn 1 (AV1)</t>
  </si>
  <si>
    <t>71ENG310033</t>
  </si>
  <si>
    <t>Anh văn 3 (AV3)</t>
  </si>
  <si>
    <t>[71ENG210023]Anh văn 2 (AV2)</t>
  </si>
  <si>
    <t>71ENG410043</t>
  </si>
  <si>
    <t>Anh văn 4 (AV4)</t>
  </si>
  <si>
    <t>[71ENG310033]Anh văn 3 (AV3)</t>
  </si>
  <si>
    <t>71ENG510053</t>
  </si>
  <si>
    <t>Anh văn 5 (AV5)</t>
  </si>
  <si>
    <t>[71ENG410043]Anh văn 4 (AV4)</t>
  </si>
  <si>
    <t>71ENG610063</t>
  </si>
  <si>
    <t>Anh văn 6 (AV6)</t>
  </si>
  <si>
    <t>[71ENG510053]Anh văn 5 (AV5)</t>
  </si>
  <si>
    <t>71ENG710073</t>
  </si>
  <si>
    <t>Anh văn 7 (AV7)</t>
  </si>
  <si>
    <t>[71ENG610063]Anh văn 6 (AV6)</t>
  </si>
  <si>
    <t>71NAD110013</t>
  </si>
  <si>
    <t>GDQP1: Đường lối QP và AN của ĐCSVN</t>
  </si>
  <si>
    <t>71NAD210022</t>
  </si>
  <si>
    <t>GDQP2: Công tác quốc phòng và an ninh</t>
  </si>
  <si>
    <t>71NAD310032</t>
  </si>
  <si>
    <t>GDQP3: Quân sự chung</t>
  </si>
  <si>
    <t>71NAD410044</t>
  </si>
  <si>
    <t>GDQP4: Kỹ thuật chiến đấu bộ binh và chiến thuật</t>
  </si>
  <si>
    <t>71ITBS10103</t>
  </si>
  <si>
    <t> Không</t>
  </si>
  <si>
    <t>71ITBS10203</t>
  </si>
  <si>
    <t>71ITIS30103</t>
  </si>
  <si>
    <t>71ITNW30103</t>
  </si>
  <si>
    <t>71ITSE30303</t>
  </si>
  <si>
    <t>[71ITBS10203]Cơ sở lập trình</t>
  </si>
  <si>
    <t>71ITMA10404</t>
  </si>
  <si>
    <t>[71ITMA10104]Toán cao cấp và ứng dụng</t>
  </si>
  <si>
    <t>71ITSE30103</t>
  </si>
  <si>
    <t>71ITAI40103</t>
  </si>
  <si>
    <t>71ITSE30203</t>
  </si>
  <si>
    <t xml:space="preserve">Lập trình hướng đối tượng </t>
  </si>
  <si>
    <t>71ITDS30103</t>
  </si>
  <si>
    <t>Các nền tảng phát triển phần mềm</t>
  </si>
  <si>
    <t>[71ITBS10103]Nhập môn công nghệ thông tin</t>
  </si>
  <si>
    <t>71ITSE30503</t>
  </si>
  <si>
    <t xml:space="preserve">Lập trình ứng dụng Web </t>
  </si>
  <si>
    <t>71ITNW30303</t>
  </si>
  <si>
    <t xml:space="preserve">An ninh Mạng máy tính </t>
  </si>
  <si>
    <t>71ITDS30203</t>
  </si>
  <si>
    <t>Nhập môn Phân tích Dữ liệu và Học sâu</t>
  </si>
  <si>
    <t>TC206 (6TC)</t>
  </si>
  <si>
    <t>71ITDS40203</t>
  </si>
  <si>
    <t>Xác xuất thống kê ứng dụng</t>
  </si>
  <si>
    <t>[71ITMA10403]Toán rời rạc</t>
  </si>
  <si>
    <t>71ITSE30403</t>
  </si>
  <si>
    <t>Lập trình ứng dụng Java</t>
  </si>
  <si>
    <t>[71ITSE30103]Kỹ thuật lập trình</t>
  </si>
  <si>
    <t>71NWSE40103</t>
  </si>
  <si>
    <t>Nhập môn hệ thống nhúng</t>
  </si>
  <si>
    <t>71ISBC30103</t>
  </si>
  <si>
    <t>Nhập môn Hệ thống thông tin</t>
  </si>
  <si>
    <t>71ITIS30303</t>
  </si>
  <si>
    <t>Quản lý Dự án Công nghệ Thông tin</t>
  </si>
  <si>
    <t>71ITSE30903</t>
  </si>
  <si>
    <t>Thiết kế giao diện người dùng</t>
  </si>
  <si>
    <t>71ITSE41003</t>
  </si>
  <si>
    <t xml:space="preserve">Nhập môn Công nghệ phần mềm </t>
  </si>
  <si>
    <t>71ITSE41103</t>
  </si>
  <si>
    <t xml:space="preserve">Kỹ thuật lấy yêu cầu </t>
  </si>
  <si>
    <t>[71ITSE41003]Nhập môn công nghệ phần mềm</t>
  </si>
  <si>
    <t>71ITSE41203</t>
  </si>
  <si>
    <t xml:space="preserve">Kiểm thử phần mềm </t>
  </si>
  <si>
    <t>71ITSE41303</t>
  </si>
  <si>
    <t xml:space="preserve">Phân tích và thiết kế hệ thống theo Hướng đối tượng </t>
  </si>
  <si>
    <t>[71ITSE41103]Kỹ thuật lấy yêu cầu</t>
  </si>
  <si>
    <t>71ITSE41403</t>
  </si>
  <si>
    <t xml:space="preserve">Lập trình Web nâng cao </t>
  </si>
  <si>
    <t>[71ITSE30503]Lập trình ứng dụng web</t>
  </si>
  <si>
    <t>71ITSE41503</t>
  </si>
  <si>
    <t xml:space="preserve">Quản lý dự án phần mềm </t>
  </si>
  <si>
    <t>71ITDS40303</t>
  </si>
  <si>
    <t>Nhập môn Phân tích Dữ liệu lớn</t>
  </si>
  <si>
    <t>71ITAI40203</t>
  </si>
  <si>
    <t xml:space="preserve">Nhập môn học máy </t>
  </si>
  <si>
    <t>[71ITDS40203]Xác xuất thống kê ứng dụng</t>
  </si>
  <si>
    <t>71ITAI40303</t>
  </si>
  <si>
    <t xml:space="preserve">Các hệ hỗ trợ ra quyết định </t>
  </si>
  <si>
    <t>71ITDS40403</t>
  </si>
  <si>
    <t xml:space="preserve">Số hóa và quản trị thông tin số </t>
  </si>
  <si>
    <t>71ITAI40903</t>
  </si>
  <si>
    <t xml:space="preserve">Lập trình tính toán song song </t>
  </si>
  <si>
    <t xml:space="preserve">[71ITSE30303]Cấu trúc dữ liệu và giải thuật </t>
  </si>
  <si>
    <t>71ITDS40503</t>
  </si>
  <si>
    <t>Mã hóa dữ liệu và chuỗi khối (Block chain)</t>
  </si>
  <si>
    <t>[71ITIS30103]Cơ sở dữ liệu</t>
  </si>
  <si>
    <t>71ITAI40803</t>
  </si>
  <si>
    <t xml:space="preserve">Nhập môn xử lý ảnh số </t>
  </si>
  <si>
    <t xml:space="preserve">Không </t>
  </si>
  <si>
    <t>71ITAI41203</t>
  </si>
  <si>
    <t>Học máy ứng dụng</t>
  </si>
  <si>
    <t>71ITAI40503</t>
  </si>
  <si>
    <t>Trí tuệ nhân tạo ứng dụng</t>
  </si>
  <si>
    <t>71ITAI40603</t>
  </si>
  <si>
    <t xml:space="preserve">Thị giác máy tính </t>
  </si>
  <si>
    <t xml:space="preserve">[71ITAI41203]Học máy và ứng dụng </t>
  </si>
  <si>
    <t>71ITAI40403</t>
  </si>
  <si>
    <t>Giới thiệu về học sâu</t>
  </si>
  <si>
    <t>[71ITAI40503]Trí tuệ nhân tạo ứng dụng</t>
  </si>
  <si>
    <t>71ITAI41303</t>
  </si>
  <si>
    <t>Các công cụ và nền tảng cho trí tuệ nhân tạo</t>
  </si>
  <si>
    <t>71ITIS30203</t>
  </si>
  <si>
    <t xml:space="preserve">Hệ Quản trị Cơ sở dữ liệu </t>
  </si>
  <si>
    <t>TC309 (9TC)</t>
  </si>
  <si>
    <t>71ITSE30603</t>
  </si>
  <si>
    <t xml:space="preserve">Lập trình ứng dụng di động </t>
  </si>
  <si>
    <t>71ITSE30703</t>
  </si>
  <si>
    <t xml:space="preserve">Lập trình di động nâng cao </t>
  </si>
  <si>
    <t>[71ITSE30603]Lập trình ứng dụng di động</t>
  </si>
  <si>
    <t>71ITSE31003</t>
  </si>
  <si>
    <t>Lập trình Python nâng cao</t>
  </si>
  <si>
    <t>71ITNW30403</t>
  </si>
  <si>
    <t>Lập trình Hệ thống nhúng và Mạng kết nối vạn vật</t>
  </si>
  <si>
    <t>71ITAI51403</t>
  </si>
  <si>
    <t>Nhập môn tối ưu hóa</t>
  </si>
  <si>
    <t>71ITSE30803</t>
  </si>
  <si>
    <t>Lập trình Java nâng cao</t>
  </si>
  <si>
    <t>[71ITSE30403]Lập trình ứng dụng Java</t>
  </si>
  <si>
    <t>71ITSE41603</t>
  </si>
  <si>
    <t xml:space="preserve">Kiểm thử tự động </t>
  </si>
  <si>
    <t>[71ITSE41203]Kiểm thử phần mềm</t>
  </si>
  <si>
    <t>71ITIS30603</t>
  </si>
  <si>
    <t>Chuyên đề Tối ưu hóa máy tìm kiếm</t>
  </si>
  <si>
    <t>[71ITBS10103]Nhập môn Công nghệ thông tin</t>
  </si>
  <si>
    <t>71ITIS30503</t>
  </si>
  <si>
    <t>Chuyên đề Thương Mại điện tử</t>
  </si>
  <si>
    <t>71ITIN40304</t>
  </si>
  <si>
    <t xml:space="preserve">Đồ án thực tập </t>
  </si>
  <si>
    <t>[71ITSE30103] Kỹ thuật lập trình</t>
  </si>
  <si>
    <t>71ITGR40206</t>
  </si>
  <si>
    <t>Đồ án Tốt nghiệp</t>
  </si>
  <si>
    <t>TC406</t>
  </si>
  <si>
    <t>Dựa theo quy định cụ thể của Khoa cho từng chuyên ngành</t>
  </si>
  <si>
    <t>Dựa theo quy định cụ thể của Khoa về Triển khai Học và làm ĐATN</t>
  </si>
  <si>
    <t>71ITGR40203</t>
  </si>
  <si>
    <t>Chuyên đề Tốt nghiệp 1</t>
  </si>
  <si>
    <t>71ITGR40303</t>
  </si>
  <si>
    <t>Chuyên đề Tốt nghiệp 2</t>
  </si>
  <si>
    <t>KẾ HOẠCH ĐÀO TẠO NGÀNH CÔNG NGHỆ THÔNG TIN - KHÓA 31</t>
  </si>
  <si>
    <t>Phân bổ học kỳ</t>
  </si>
  <si>
    <t>Năm Thứ</t>
  </si>
  <si>
    <t>Tên học phần (Tiếng Việt)</t>
  </si>
  <si>
    <t>Số tiết/giờ</t>
  </si>
  <si>
    <t>Bắt buộc/Tự chọn</t>
  </si>
  <si>
    <t>ĐK tiên quyết</t>
  </si>
  <si>
    <t>ĐK học trước</t>
  </si>
  <si>
    <t>Số TC/ HK</t>
  </si>
  <si>
    <t>HK251
1</t>
  </si>
  <si>
    <t xml:space="preserve">Nhập môn Công nghệ thông tin </t>
  </si>
  <si>
    <t xml:space="preserve">Cơ sở lập trình </t>
  </si>
  <si>
    <t>HK252
2</t>
  </si>
  <si>
    <t xml:space="preserve">Nhập môn Mạng máy tính và điện toán đám mây </t>
  </si>
  <si>
    <t xml:space="preserve">Kỹ thuật lập trình </t>
  </si>
  <si>
    <t>HK253
3</t>
  </si>
  <si>
    <t xml:space="preserve">Cơ sở dữ liệu </t>
  </si>
  <si>
    <t xml:space="preserve">Cấu trúc dữ liệu và giải thuật </t>
  </si>
  <si>
    <t xml:space="preserve">Nhập môn Trí tuệ nhân tạo </t>
  </si>
  <si>
    <t>HK261
4</t>
  </si>
  <si>
    <t>GDTC1</t>
  </si>
  <si>
    <t xml:space="preserve">Toán rời rạc </t>
  </si>
  <si>
    <t>HK262
5</t>
  </si>
  <si>
    <t>Chọn 1 trong 4 môn sau</t>
  </si>
  <si>
    <t>HK263
6</t>
  </si>
  <si>
    <t>Chuyên ngành CNPM</t>
  </si>
  <si>
    <t>Chuyên ngành CNDL</t>
  </si>
  <si>
    <t>Chuyên ngành Trí tuệ Nhân tạo</t>
  </si>
  <si>
    <t>Chọn 1 trong 3 môn sau</t>
  </si>
  <si>
    <t>Chọn 1 trong 2 môn sau</t>
  </si>
  <si>
    <t>GDTC2</t>
  </si>
  <si>
    <t>HK271
7</t>
  </si>
  <si>
    <t>HK272
8</t>
  </si>
  <si>
    <t>HK273
9</t>
  </si>
  <si>
    <t>Khoa có quy định riêng</t>
  </si>
  <si>
    <t>HK281
10</t>
  </si>
  <si>
    <t xml:space="preserve">TP. Hồ Chí Minh, ngày      tháng       năm </t>
  </si>
  <si>
    <t xml:space="preserve">TRƯỞNG KHOA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</si>
</sst>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3"/>
      <color theme="1"/>
      <name val="Times New Roman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1"/>
      <color rgb="FF0070C0"/>
      <name val="Times New Roman"/>
      <family val="1"/>
    </font>
    <font>
      <sz val="13"/>
      <color theme="1"/>
      <name val="Times New Roman"/>
      <family val="2"/>
    </font>
    <font>
      <b/>
      <sz val="13"/>
      <color theme="1"/>
      <name val="Times New Roman"/>
      <family val="1"/>
    </font>
    <font>
      <sz val="13"/>
      <name val="Times New Roman"/>
      <family val="2"/>
    </font>
    <font>
      <sz val="11"/>
      <color theme="0" tint="-0.249977111117893"/>
      <name val="Times New Roman"/>
      <family val="1"/>
    </font>
    <font>
      <b/>
      <sz val="16"/>
      <color rgb="FFFF0000"/>
      <name val="Times New Roman"/>
      <family val="1"/>
    </font>
    <font>
      <b/>
      <sz val="13"/>
      <color rgb="FF0070C0"/>
      <name val="Times New Roman"/>
      <family val="1"/>
    </font>
    <font>
      <sz val="8"/>
      <color theme="1"/>
      <name val="Times New Roman"/>
      <family val="2"/>
    </font>
    <font>
      <sz val="8"/>
      <name val="Times New Roman"/>
      <family val="2"/>
    </font>
    <font>
      <b/>
      <sz val="11"/>
      <name val="Times New Roman"/>
      <family val="2"/>
    </font>
    <font>
      <sz val="11"/>
      <name val="Times New Roman"/>
      <family val="2"/>
    </font>
    <font>
      <b/>
      <sz val="20"/>
      <color rgb="FF0070C0"/>
      <name val="Times New Roman"/>
      <family val="1"/>
    </font>
    <font>
      <sz val="11"/>
      <name val="Times New Roman"/>
      <family val="1"/>
      <charset val="163"/>
    </font>
    <font>
      <sz val="13"/>
      <color theme="1"/>
      <name val="Times New Roman"/>
      <family val="1"/>
      <charset val="163"/>
    </font>
    <font>
      <sz val="11"/>
      <color theme="8" tint="-0.499984740745262"/>
      <name val="Times New Roman"/>
      <family val="1"/>
    </font>
    <font>
      <b/>
      <sz val="11"/>
      <color theme="8" tint="-0.499984740745262"/>
      <name val="Times New Roman"/>
      <family val="1"/>
    </font>
    <font>
      <sz val="11"/>
      <color theme="5" tint="0.79998168889431442"/>
      <name val="Times New Roman"/>
      <family val="1"/>
    </font>
    <font>
      <sz val="13"/>
      <color theme="1"/>
      <name val="Times New Roman"/>
      <family val="1"/>
    </font>
    <font>
      <b/>
      <sz val="14"/>
      <color rgb="FF0070C0"/>
      <name val="Times New Roman"/>
      <family val="1"/>
    </font>
    <font>
      <b/>
      <sz val="16"/>
      <color rgb="FF0070C0"/>
      <name val="Times New Roman"/>
      <family val="1"/>
    </font>
    <font>
      <sz val="11"/>
      <color theme="1"/>
      <name val="Times New Roman"/>
      <family val="2"/>
    </font>
    <font>
      <strike/>
      <sz val="11"/>
      <color theme="1"/>
      <name val="Times New Roman"/>
      <family val="1"/>
    </font>
    <font>
      <strike/>
      <sz val="11"/>
      <name val="Times New Roman"/>
      <family val="1"/>
    </font>
    <font>
      <strike/>
      <sz val="13"/>
      <color theme="1"/>
      <name val="Times New Roman"/>
      <family val="1"/>
    </font>
    <font>
      <strike/>
      <sz val="11"/>
      <color theme="0" tint="-0.249977111117893"/>
      <name val="Times New Roman"/>
      <family val="1"/>
    </font>
    <font>
      <b/>
      <sz val="13"/>
      <color theme="1"/>
      <name val="Times New Roman"/>
      <family val="1"/>
      <charset val="163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2" fillId="0" borderId="0"/>
    <xf numFmtId="0" fontId="8" fillId="0" borderId="0"/>
    <xf numFmtId="0" fontId="1" fillId="0" borderId="0"/>
  </cellStyleXfs>
  <cellXfs count="148">
    <xf numFmtId="0" fontId="0" fillId="0" borderId="0" xfId="0"/>
    <xf numFmtId="0" fontId="9" fillId="0" borderId="0" xfId="2" applyFont="1"/>
    <xf numFmtId="0" fontId="8" fillId="0" borderId="0" xfId="2"/>
    <xf numFmtId="0" fontId="10" fillId="0" borderId="0" xfId="2" applyFont="1"/>
    <xf numFmtId="0" fontId="8" fillId="0" borderId="0" xfId="2" applyAlignment="1">
      <alignment wrapText="1"/>
    </xf>
    <xf numFmtId="0" fontId="8" fillId="0" borderId="0" xfId="2" applyAlignment="1">
      <alignment horizontal="left" wrapText="1"/>
    </xf>
    <xf numFmtId="0" fontId="8" fillId="0" borderId="0" xfId="2" applyAlignment="1">
      <alignment horizontal="center"/>
    </xf>
    <xf numFmtId="0" fontId="11" fillId="0" borderId="0" xfId="2" applyFont="1" applyAlignment="1">
      <alignment horizontal="center"/>
    </xf>
    <xf numFmtId="0" fontId="12" fillId="0" borderId="0" xfId="2" applyFont="1" applyAlignment="1">
      <alignment horizontal="left" vertical="center"/>
    </xf>
    <xf numFmtId="0" fontId="12" fillId="0" borderId="0" xfId="2" applyFont="1" applyAlignment="1">
      <alignment vertical="center" wrapText="1"/>
    </xf>
    <xf numFmtId="0" fontId="13" fillId="3" borderId="0" xfId="2" applyFont="1" applyFill="1" applyAlignment="1">
      <alignment horizontal="center"/>
    </xf>
    <xf numFmtId="0" fontId="13" fillId="0" borderId="0" xfId="2" applyFont="1"/>
    <xf numFmtId="0" fontId="12" fillId="0" borderId="0" xfId="2" applyFont="1" applyAlignment="1">
      <alignment horizontal="center" vertical="center" wrapText="1"/>
    </xf>
    <xf numFmtId="0" fontId="14" fillId="0" borderId="0" xfId="2" applyFont="1" applyAlignment="1">
      <alignment horizontal="center"/>
    </xf>
    <xf numFmtId="0" fontId="15" fillId="0" borderId="0" xfId="2" applyFont="1" applyAlignment="1">
      <alignment horizontal="center"/>
    </xf>
    <xf numFmtId="0" fontId="14" fillId="0" borderId="0" xfId="2" applyFont="1" applyAlignment="1">
      <alignment horizontal="center" wrapText="1"/>
    </xf>
    <xf numFmtId="0" fontId="4" fillId="4" borderId="7" xfId="2" applyFont="1" applyFill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17" fillId="0" borderId="3" xfId="2" applyFont="1" applyBorder="1" applyAlignment="1">
      <alignment horizontal="center" vertical="center"/>
    </xf>
    <xf numFmtId="0" fontId="3" fillId="0" borderId="3" xfId="2" applyFont="1" applyBorder="1" applyAlignment="1">
      <alignment vertical="center" wrapText="1"/>
    </xf>
    <xf numFmtId="0" fontId="3" fillId="0" borderId="3" xfId="2" applyFont="1" applyBorder="1" applyAlignment="1">
      <alignment horizontal="center" vertical="center" wrapText="1"/>
    </xf>
    <xf numFmtId="0" fontId="3" fillId="0" borderId="11" xfId="2" applyFont="1" applyBorder="1" applyAlignment="1">
      <alignment horizontal="left" vertical="center" wrapText="1"/>
    </xf>
    <xf numFmtId="0" fontId="18" fillId="0" borderId="3" xfId="2" applyFont="1" applyBorder="1" applyAlignment="1">
      <alignment horizontal="center"/>
    </xf>
    <xf numFmtId="0" fontId="8" fillId="0" borderId="5" xfId="2" applyBorder="1"/>
    <xf numFmtId="0" fontId="3" fillId="0" borderId="1" xfId="2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0" fontId="3" fillId="0" borderId="1" xfId="2" applyFont="1" applyBorder="1" applyAlignment="1">
      <alignment vertical="center" wrapText="1"/>
    </xf>
    <xf numFmtId="0" fontId="3" fillId="0" borderId="1" xfId="2" applyFont="1" applyBorder="1" applyAlignment="1">
      <alignment horizontal="center" vertical="center" wrapText="1"/>
    </xf>
    <xf numFmtId="0" fontId="3" fillId="0" borderId="13" xfId="2" applyFont="1" applyBorder="1" applyAlignment="1">
      <alignment horizontal="left" vertical="center" wrapText="1"/>
    </xf>
    <xf numFmtId="0" fontId="8" fillId="0" borderId="1" xfId="2" applyBorder="1" applyAlignment="1">
      <alignment horizontal="center"/>
    </xf>
    <xf numFmtId="0" fontId="8" fillId="0" borderId="14" xfId="2" applyBorder="1"/>
    <xf numFmtId="0" fontId="17" fillId="0" borderId="1" xfId="2" applyFont="1" applyBorder="1" applyAlignment="1">
      <alignment horizontal="center" vertical="center"/>
    </xf>
    <xf numFmtId="0" fontId="5" fillId="0" borderId="1" xfId="2" applyFont="1" applyBorder="1" applyAlignment="1">
      <alignment vertical="center" wrapText="1"/>
    </xf>
    <xf numFmtId="0" fontId="5" fillId="0" borderId="1" xfId="2" applyFont="1" applyBorder="1" applyAlignment="1">
      <alignment horizontal="center" vertical="center" wrapText="1"/>
    </xf>
    <xf numFmtId="0" fontId="5" fillId="0" borderId="13" xfId="2" applyFont="1" applyBorder="1" applyAlignment="1">
      <alignment horizontal="left" vertical="center" wrapText="1"/>
    </xf>
    <xf numFmtId="0" fontId="3" fillId="0" borderId="16" xfId="2" applyFont="1" applyBorder="1" applyAlignment="1">
      <alignment horizontal="center" vertical="center"/>
    </xf>
    <xf numFmtId="0" fontId="17" fillId="0" borderId="16" xfId="2" applyFont="1" applyBorder="1" applyAlignment="1">
      <alignment horizontal="center" vertical="center"/>
    </xf>
    <xf numFmtId="0" fontId="5" fillId="0" borderId="16" xfId="2" applyFont="1" applyBorder="1" applyAlignment="1">
      <alignment vertical="center" wrapText="1"/>
    </xf>
    <xf numFmtId="0" fontId="5" fillId="0" borderId="16" xfId="2" applyFont="1" applyBorder="1" applyAlignment="1">
      <alignment horizontal="center" vertical="center"/>
    </xf>
    <xf numFmtId="0" fontId="5" fillId="0" borderId="16" xfId="2" applyFont="1" applyBorder="1" applyAlignment="1">
      <alignment horizontal="center" vertical="center" wrapText="1"/>
    </xf>
    <xf numFmtId="0" fontId="5" fillId="0" borderId="17" xfId="2" applyFont="1" applyBorder="1" applyAlignment="1">
      <alignment horizontal="left" vertical="center" wrapText="1"/>
    </xf>
    <xf numFmtId="0" fontId="8" fillId="0" borderId="16" xfId="2" applyBorder="1" applyAlignment="1">
      <alignment horizontal="center"/>
    </xf>
    <xf numFmtId="0" fontId="8" fillId="0" borderId="9" xfId="2" applyBorder="1"/>
    <xf numFmtId="0" fontId="3" fillId="0" borderId="18" xfId="2" applyFont="1" applyBorder="1" applyAlignment="1">
      <alignment horizontal="center" vertical="center"/>
    </xf>
    <xf numFmtId="0" fontId="17" fillId="0" borderId="18" xfId="2" applyFont="1" applyBorder="1" applyAlignment="1">
      <alignment horizontal="center" vertical="center"/>
    </xf>
    <xf numFmtId="0" fontId="5" fillId="0" borderId="18" xfId="2" applyFont="1" applyBorder="1" applyAlignment="1">
      <alignment vertical="center" wrapText="1"/>
    </xf>
    <xf numFmtId="0" fontId="5" fillId="0" borderId="18" xfId="2" applyFont="1" applyBorder="1" applyAlignment="1">
      <alignment horizontal="center" vertical="center"/>
    </xf>
    <xf numFmtId="0" fontId="5" fillId="0" borderId="18" xfId="2" applyFont="1" applyBorder="1" applyAlignment="1">
      <alignment horizontal="center" vertical="center" wrapText="1"/>
    </xf>
    <xf numFmtId="0" fontId="5" fillId="0" borderId="18" xfId="2" applyFont="1" applyBorder="1" applyAlignment="1">
      <alignment horizontal="left" vertical="center" wrapText="1"/>
    </xf>
    <xf numFmtId="0" fontId="18" fillId="0" borderId="19" xfId="2" applyFont="1" applyBorder="1" applyAlignment="1">
      <alignment horizontal="center"/>
    </xf>
    <xf numFmtId="0" fontId="5" fillId="0" borderId="1" xfId="2" applyFont="1" applyBorder="1" applyAlignment="1">
      <alignment horizontal="left" vertical="center" wrapText="1"/>
    </xf>
    <xf numFmtId="0" fontId="8" fillId="0" borderId="13" xfId="2" applyBorder="1" applyAlignment="1">
      <alignment horizontal="center"/>
    </xf>
    <xf numFmtId="0" fontId="3" fillId="0" borderId="7" xfId="2" applyFont="1" applyBorder="1" applyAlignment="1">
      <alignment horizontal="center" vertical="center"/>
    </xf>
    <xf numFmtId="0" fontId="17" fillId="0" borderId="7" xfId="2" applyFont="1" applyBorder="1" applyAlignment="1">
      <alignment horizontal="center" vertical="center"/>
    </xf>
    <xf numFmtId="0" fontId="5" fillId="0" borderId="7" xfId="2" applyFont="1" applyBorder="1" applyAlignment="1">
      <alignment vertical="center" wrapText="1"/>
    </xf>
    <xf numFmtId="0" fontId="5" fillId="0" borderId="7" xfId="2" applyFont="1" applyBorder="1" applyAlignment="1">
      <alignment horizontal="center" vertical="center"/>
    </xf>
    <xf numFmtId="0" fontId="5" fillId="0" borderId="7" xfId="2" applyFont="1" applyBorder="1" applyAlignment="1">
      <alignment horizontal="center" vertical="center" wrapText="1"/>
    </xf>
    <xf numFmtId="0" fontId="5" fillId="0" borderId="7" xfId="2" applyFont="1" applyBorder="1" applyAlignment="1">
      <alignment horizontal="left" vertical="center" wrapText="1"/>
    </xf>
    <xf numFmtId="0" fontId="8" fillId="0" borderId="20" xfId="2" applyBorder="1" applyAlignment="1">
      <alignment horizontal="center"/>
    </xf>
    <xf numFmtId="0" fontId="5" fillId="0" borderId="3" xfId="2" applyFont="1" applyBorder="1" applyAlignment="1">
      <alignment vertical="center" wrapText="1"/>
    </xf>
    <xf numFmtId="0" fontId="5" fillId="0" borderId="3" xfId="2" applyFont="1" applyBorder="1" applyAlignment="1">
      <alignment horizontal="center" vertical="center"/>
    </xf>
    <xf numFmtId="0" fontId="5" fillId="0" borderId="3" xfId="2" applyFont="1" applyBorder="1" applyAlignment="1">
      <alignment horizontal="center" vertical="center" wrapText="1"/>
    </xf>
    <xf numFmtId="0" fontId="5" fillId="0" borderId="11" xfId="2" applyFont="1" applyBorder="1" applyAlignment="1">
      <alignment horizontal="left" vertical="center" wrapText="1"/>
    </xf>
    <xf numFmtId="0" fontId="18" fillId="0" borderId="11" xfId="2" applyFont="1" applyBorder="1" applyAlignment="1">
      <alignment horizontal="center"/>
    </xf>
    <xf numFmtId="0" fontId="7" fillId="0" borderId="1" xfId="2" applyFont="1" applyBorder="1" applyAlignment="1">
      <alignment horizontal="center" vertical="center"/>
    </xf>
    <xf numFmtId="0" fontId="7" fillId="0" borderId="1" xfId="2" applyFont="1" applyBorder="1" applyAlignment="1">
      <alignment vertical="center" wrapText="1"/>
    </xf>
    <xf numFmtId="0" fontId="7" fillId="0" borderId="1" xfId="2" applyFont="1" applyBorder="1" applyAlignment="1">
      <alignment horizontal="center" vertical="center" wrapText="1"/>
    </xf>
    <xf numFmtId="0" fontId="7" fillId="0" borderId="13" xfId="2" applyFont="1" applyBorder="1" applyAlignment="1">
      <alignment horizontal="left" vertical="center" wrapText="1"/>
    </xf>
    <xf numFmtId="0" fontId="8" fillId="0" borderId="17" xfId="2" applyBorder="1" applyAlignment="1">
      <alignment horizontal="center"/>
    </xf>
    <xf numFmtId="0" fontId="8" fillId="0" borderId="21" xfId="2" applyBorder="1"/>
    <xf numFmtId="0" fontId="7" fillId="0" borderId="18" xfId="2" applyFont="1" applyBorder="1" applyAlignment="1">
      <alignment vertical="center" wrapText="1"/>
    </xf>
    <xf numFmtId="0" fontId="8" fillId="0" borderId="22" xfId="2" applyBorder="1"/>
    <xf numFmtId="0" fontId="19" fillId="0" borderId="1" xfId="2" applyFont="1" applyBorder="1" applyAlignment="1">
      <alignment horizontal="center" vertical="center"/>
    </xf>
    <xf numFmtId="0" fontId="3" fillId="0" borderId="1" xfId="2" applyFont="1" applyBorder="1" applyAlignment="1">
      <alignment horizontal="left" vertical="center" wrapText="1"/>
    </xf>
    <xf numFmtId="0" fontId="20" fillId="0" borderId="1" xfId="2" applyFont="1" applyBorder="1" applyAlignment="1">
      <alignment horizontal="center"/>
    </xf>
    <xf numFmtId="0" fontId="20" fillId="0" borderId="14" xfId="2" applyFont="1" applyBorder="1"/>
    <xf numFmtId="0" fontId="20" fillId="0" borderId="0" xfId="2" applyFont="1"/>
    <xf numFmtId="0" fontId="21" fillId="2" borderId="1" xfId="2" applyFont="1" applyFill="1" applyBorder="1" applyAlignment="1">
      <alignment horizontal="center" vertical="center"/>
    </xf>
    <xf numFmtId="0" fontId="22" fillId="2" borderId="1" xfId="2" applyFont="1" applyFill="1" applyBorder="1" applyAlignment="1">
      <alignment horizontal="left" vertical="center"/>
    </xf>
    <xf numFmtId="0" fontId="21" fillId="2" borderId="1" xfId="2" applyFont="1" applyFill="1" applyBorder="1" applyAlignment="1">
      <alignment vertical="center" wrapText="1"/>
    </xf>
    <xf numFmtId="0" fontId="23" fillId="2" borderId="1" xfId="2" applyFont="1" applyFill="1" applyBorder="1" applyAlignment="1">
      <alignment horizontal="center" vertical="center"/>
    </xf>
    <xf numFmtId="0" fontId="21" fillId="2" borderId="1" xfId="2" applyFont="1" applyFill="1" applyBorder="1" applyAlignment="1">
      <alignment horizontal="center" vertical="center" wrapText="1"/>
    </xf>
    <xf numFmtId="0" fontId="21" fillId="2" borderId="13" xfId="2" applyFont="1" applyFill="1" applyBorder="1" applyAlignment="1">
      <alignment horizontal="left" vertical="center" wrapText="1"/>
    </xf>
    <xf numFmtId="0" fontId="8" fillId="2" borderId="1" xfId="2" applyFill="1" applyBorder="1" applyAlignment="1">
      <alignment horizontal="center"/>
    </xf>
    <xf numFmtId="0" fontId="8" fillId="2" borderId="14" xfId="2" applyFill="1" applyBorder="1"/>
    <xf numFmtId="0" fontId="3" fillId="0" borderId="7" xfId="2" applyFont="1" applyBorder="1" applyAlignment="1">
      <alignment horizontal="center" vertical="center" wrapText="1"/>
    </xf>
    <xf numFmtId="0" fontId="3" fillId="0" borderId="20" xfId="2" applyFont="1" applyBorder="1" applyAlignment="1">
      <alignment horizontal="left" vertical="center" wrapText="1"/>
    </xf>
    <xf numFmtId="0" fontId="3" fillId="0" borderId="3" xfId="2" applyFont="1" applyBorder="1" applyAlignment="1">
      <alignment horizontal="left" vertical="center" wrapText="1"/>
    </xf>
    <xf numFmtId="0" fontId="18" fillId="0" borderId="18" xfId="2" applyFont="1" applyBorder="1" applyAlignment="1">
      <alignment horizontal="center"/>
    </xf>
    <xf numFmtId="0" fontId="21" fillId="2" borderId="1" xfId="2" applyFont="1" applyFill="1" applyBorder="1" applyAlignment="1">
      <alignment horizontal="left" vertical="center" wrapText="1"/>
    </xf>
    <xf numFmtId="0" fontId="24" fillId="2" borderId="1" xfId="2" applyFont="1" applyFill="1" applyBorder="1" applyAlignment="1">
      <alignment horizontal="center"/>
    </xf>
    <xf numFmtId="0" fontId="24" fillId="2" borderId="14" xfId="2" applyFont="1" applyFill="1" applyBorder="1"/>
    <xf numFmtId="0" fontId="24" fillId="0" borderId="0" xfId="2" applyFont="1"/>
    <xf numFmtId="0" fontId="3" fillId="0" borderId="16" xfId="2" applyFont="1" applyBorder="1" applyAlignment="1">
      <alignment horizontal="left" vertical="center" wrapText="1"/>
    </xf>
    <xf numFmtId="0" fontId="8" fillId="0" borderId="7" xfId="2" applyBorder="1" applyAlignment="1">
      <alignment horizontal="center"/>
    </xf>
    <xf numFmtId="0" fontId="3" fillId="0" borderId="2" xfId="2" applyFont="1" applyBorder="1" applyAlignment="1">
      <alignment horizontal="center" vertical="center"/>
    </xf>
    <xf numFmtId="0" fontId="5" fillId="0" borderId="3" xfId="2" applyFont="1" applyBorder="1" applyAlignment="1">
      <alignment horizontal="left" vertical="center" wrapText="1"/>
    </xf>
    <xf numFmtId="0" fontId="18" fillId="0" borderId="1" xfId="2" applyFont="1" applyBorder="1" applyAlignment="1">
      <alignment horizontal="center"/>
    </xf>
    <xf numFmtId="0" fontId="5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/>
    </xf>
    <xf numFmtId="0" fontId="5" fillId="2" borderId="1" xfId="2" applyFont="1" applyFill="1" applyBorder="1" applyAlignment="1">
      <alignment vertical="center" wrapText="1"/>
    </xf>
    <xf numFmtId="0" fontId="5" fillId="2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left" vertical="center" wrapText="1"/>
    </xf>
    <xf numFmtId="0" fontId="17" fillId="0" borderId="16" xfId="2" applyFont="1" applyBorder="1" applyAlignment="1">
      <alignment horizontal="center" vertical="center" wrapText="1"/>
    </xf>
    <xf numFmtId="0" fontId="17" fillId="0" borderId="16" xfId="2" applyFont="1" applyBorder="1" applyAlignment="1">
      <alignment vertical="center" wrapText="1"/>
    </xf>
    <xf numFmtId="0" fontId="3" fillId="0" borderId="16" xfId="2" applyFont="1" applyBorder="1" applyAlignment="1">
      <alignment horizontal="center" vertical="center" wrapText="1"/>
    </xf>
    <xf numFmtId="0" fontId="17" fillId="0" borderId="3" xfId="2" applyFont="1" applyBorder="1" applyAlignment="1">
      <alignment horizontal="center" vertical="center" wrapText="1"/>
    </xf>
    <xf numFmtId="0" fontId="17" fillId="0" borderId="3" xfId="2" applyFont="1" applyBorder="1" applyAlignment="1">
      <alignment vertical="center" wrapText="1"/>
    </xf>
    <xf numFmtId="0" fontId="25" fillId="0" borderId="1" xfId="2" applyFont="1" applyBorder="1" applyAlignment="1">
      <alignment horizontal="center"/>
    </xf>
    <xf numFmtId="0" fontId="18" fillId="0" borderId="16" xfId="2" applyFont="1" applyBorder="1" applyAlignment="1">
      <alignment horizontal="center"/>
    </xf>
    <xf numFmtId="0" fontId="26" fillId="0" borderId="3" xfId="2" applyFont="1" applyBorder="1" applyAlignment="1">
      <alignment horizontal="center"/>
    </xf>
    <xf numFmtId="0" fontId="3" fillId="0" borderId="1" xfId="2" quotePrefix="1" applyFont="1" applyBorder="1" applyAlignment="1">
      <alignment horizontal="center" vertical="center"/>
    </xf>
    <xf numFmtId="0" fontId="27" fillId="0" borderId="14" xfId="2" applyFont="1" applyBorder="1" applyAlignment="1">
      <alignment wrapText="1"/>
    </xf>
    <xf numFmtId="0" fontId="28" fillId="0" borderId="24" xfId="2" applyFont="1" applyBorder="1" applyAlignment="1">
      <alignment horizontal="center" vertical="center"/>
    </xf>
    <xf numFmtId="0" fontId="28" fillId="0" borderId="16" xfId="2" applyFont="1" applyBorder="1" applyAlignment="1">
      <alignment horizontal="center" vertical="center"/>
    </xf>
    <xf numFmtId="0" fontId="29" fillId="0" borderId="16" xfId="2" applyFont="1" applyBorder="1" applyAlignment="1">
      <alignment horizontal="center" vertical="center"/>
    </xf>
    <xf numFmtId="0" fontId="29" fillId="0" borderId="16" xfId="2" applyFont="1" applyBorder="1" applyAlignment="1">
      <alignment vertical="center" wrapText="1"/>
    </xf>
    <xf numFmtId="0" fontId="29" fillId="0" borderId="16" xfId="2" applyFont="1" applyBorder="1" applyAlignment="1">
      <alignment horizontal="center" vertical="center" wrapText="1"/>
    </xf>
    <xf numFmtId="0" fontId="29" fillId="0" borderId="16" xfId="2" applyFont="1" applyBorder="1" applyAlignment="1">
      <alignment horizontal="left" vertical="center" wrapText="1"/>
    </xf>
    <xf numFmtId="0" fontId="30" fillId="0" borderId="16" xfId="2" applyFont="1" applyBorder="1" applyAlignment="1">
      <alignment horizontal="center"/>
    </xf>
    <xf numFmtId="0" fontId="30" fillId="0" borderId="21" xfId="2" applyFont="1" applyBorder="1"/>
    <xf numFmtId="0" fontId="30" fillId="0" borderId="0" xfId="2" applyFont="1"/>
    <xf numFmtId="0" fontId="31" fillId="0" borderId="0" xfId="2" applyFont="1" applyAlignment="1">
      <alignment horizontal="center"/>
    </xf>
    <xf numFmtId="0" fontId="9" fillId="0" borderId="0" xfId="2" applyFont="1" applyAlignment="1">
      <alignment horizontal="left" wrapText="1"/>
    </xf>
    <xf numFmtId="0" fontId="9" fillId="0" borderId="0" xfId="2" applyFont="1" applyAlignment="1">
      <alignment horizontal="center"/>
    </xf>
    <xf numFmtId="0" fontId="4" fillId="4" borderId="5" xfId="2" applyFont="1" applyFill="1" applyBorder="1" applyAlignment="1">
      <alignment horizontal="center" vertical="center" wrapText="1"/>
    </xf>
    <xf numFmtId="0" fontId="4" fillId="4" borderId="9" xfId="2" applyFont="1" applyFill="1" applyBorder="1" applyAlignment="1">
      <alignment horizontal="center" vertical="center" wrapText="1"/>
    </xf>
    <xf numFmtId="0" fontId="4" fillId="4" borderId="2" xfId="2" applyFont="1" applyFill="1" applyBorder="1" applyAlignment="1">
      <alignment horizontal="center" vertical="center"/>
    </xf>
    <xf numFmtId="0" fontId="4" fillId="4" borderId="6" xfId="2" applyFont="1" applyFill="1" applyBorder="1" applyAlignment="1">
      <alignment horizontal="center" vertical="center"/>
    </xf>
    <xf numFmtId="0" fontId="4" fillId="4" borderId="3" xfId="2" applyFont="1" applyFill="1" applyBorder="1" applyAlignment="1">
      <alignment horizontal="center" vertical="center" wrapText="1"/>
    </xf>
    <xf numFmtId="0" fontId="4" fillId="4" borderId="7" xfId="2" applyFont="1" applyFill="1" applyBorder="1" applyAlignment="1">
      <alignment horizontal="center" vertical="center" wrapText="1"/>
    </xf>
    <xf numFmtId="0" fontId="4" fillId="4" borderId="4" xfId="2" applyFont="1" applyFill="1" applyBorder="1" applyAlignment="1">
      <alignment horizontal="center" vertical="center" wrapText="1"/>
    </xf>
    <xf numFmtId="0" fontId="4" fillId="4" borderId="8" xfId="2" applyFont="1" applyFill="1" applyBorder="1" applyAlignment="1">
      <alignment horizontal="center" vertical="center" wrapText="1"/>
    </xf>
    <xf numFmtId="0" fontId="16" fillId="4" borderId="3" xfId="2" applyFont="1" applyFill="1" applyBorder="1" applyAlignment="1">
      <alignment horizontal="center" vertical="center" wrapText="1"/>
    </xf>
    <xf numFmtId="0" fontId="16" fillId="4" borderId="7" xfId="2" applyFont="1" applyFill="1" applyBorder="1" applyAlignment="1">
      <alignment horizontal="center" vertical="center" wrapText="1"/>
    </xf>
    <xf numFmtId="0" fontId="3" fillId="0" borderId="10" xfId="2" applyFont="1" applyBorder="1" applyAlignment="1">
      <alignment horizontal="center" vertical="center" wrapText="1"/>
    </xf>
    <xf numFmtId="0" fontId="3" fillId="0" borderId="12" xfId="2" applyFont="1" applyBorder="1" applyAlignment="1">
      <alignment horizontal="center" vertical="center"/>
    </xf>
    <xf numFmtId="0" fontId="3" fillId="0" borderId="15" xfId="2" applyFont="1" applyBorder="1" applyAlignment="1">
      <alignment horizontal="center" vertical="center"/>
    </xf>
    <xf numFmtId="0" fontId="4" fillId="4" borderId="3" xfId="2" applyFont="1" applyFill="1" applyBorder="1" applyAlignment="1">
      <alignment horizontal="left" vertical="center" wrapText="1"/>
    </xf>
    <xf numFmtId="0" fontId="4" fillId="4" borderId="7" xfId="2" applyFont="1" applyFill="1" applyBorder="1" applyAlignment="1">
      <alignment horizontal="left" vertical="center" wrapText="1"/>
    </xf>
    <xf numFmtId="0" fontId="3" fillId="0" borderId="12" xfId="2" applyFont="1" applyBorder="1" applyAlignment="1">
      <alignment horizontal="center" vertical="center" wrapText="1"/>
    </xf>
    <xf numFmtId="0" fontId="3" fillId="0" borderId="15" xfId="2" applyFont="1" applyBorder="1" applyAlignment="1">
      <alignment horizontal="center" vertical="center" wrapText="1"/>
    </xf>
    <xf numFmtId="0" fontId="9" fillId="0" borderId="0" xfId="2" applyFont="1" applyAlignment="1">
      <alignment horizontal="center" wrapText="1"/>
    </xf>
    <xf numFmtId="0" fontId="3" fillId="0" borderId="23" xfId="2" applyFont="1" applyBorder="1" applyAlignment="1">
      <alignment horizontal="center" vertical="center" wrapText="1"/>
    </xf>
    <xf numFmtId="0" fontId="3" fillId="0" borderId="23" xfId="2" applyFont="1" applyBorder="1" applyAlignment="1">
      <alignment horizontal="center" vertical="center"/>
    </xf>
    <xf numFmtId="0" fontId="3" fillId="0" borderId="24" xfId="2" applyFont="1" applyBorder="1" applyAlignment="1">
      <alignment horizontal="center" vertical="center"/>
    </xf>
    <xf numFmtId="0" fontId="3" fillId="0" borderId="25" xfId="2" applyFont="1" applyBorder="1" applyAlignment="1">
      <alignment horizontal="center" vertical="center" wrapText="1"/>
    </xf>
    <xf numFmtId="0" fontId="32" fillId="0" borderId="0" xfId="2" applyFont="1" applyAlignment="1">
      <alignment horizontal="center" wrapText="1"/>
    </xf>
  </cellXfs>
  <cellStyles count="4">
    <cellStyle name="Normal" xfId="0" builtinId="0"/>
    <cellStyle name="Normal 2" xfId="1" xr:uid="{4018F673-9601-4796-8451-9E63BD6E1BD2}"/>
    <cellStyle name="Normal 3" xfId="2" xr:uid="{B5B76262-5AD1-4582-AAE2-C1AE9A070985}"/>
    <cellStyle name="Normal 4" xfId="3" xr:uid="{DB1D0832-64D2-4DE6-98E1-9CBBFEE13BF4}"/>
  </cellStyles>
  <dxfs count="3">
    <dxf>
      <fill>
        <patternFill>
          <bgColor rgb="FFFFC729"/>
        </patternFill>
      </fill>
    </dxf>
    <dxf>
      <fill>
        <patternFill>
          <bgColor rgb="FFFFC729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anlangunivn-my.sharepoint.com/OneDrive%20-%20moet.edu.vn/Dropbox/@My%20Work/@Du%20an/@2018/CSDL%20&#272;H/Phan%20mem/DANHMUC_03.01.19-revi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iHinhTruong"/>
      <sheetName val="DM_KhoiNganh"/>
      <sheetName val="DM_NhomNganhDaoTao"/>
      <sheetName val="DM_NganhDT"/>
      <sheetName val="DM_TrangThaiSV"/>
      <sheetName val="HinhThucDaotao"/>
      <sheetName val="Bậc học"/>
      <sheetName val="LoaiTotNghiep"/>
      <sheetName val="DM_KhuyetTat"/>
      <sheetName val="DM_MienGiamHocPhi"/>
      <sheetName val="DM_NhomMau"/>
      <sheetName val="DM_Vung"/>
      <sheetName val="ChucVu"/>
      <sheetName val="DM_TrangThaiCB"/>
      <sheetName val="DM_NHOM_CAN_BO"/>
      <sheetName val="LoaiCanBo"/>
      <sheetName val="ViTriLamViec"/>
      <sheetName val="HinhThucTuyenDung"/>
      <sheetName val="HinhThucHopDong"/>
      <sheetName val="HocHam"/>
      <sheetName val="TrinhDoDaoTao"/>
      <sheetName val="LoaiChungChi"/>
      <sheetName val="LyDoThoiHoc"/>
      <sheetName val="NgheNghiep"/>
      <sheetName val="NguoiKy"/>
      <sheetName val="ThiDuaKhenThuong"/>
      <sheetName val="TinhTrangSucKhoe"/>
      <sheetName val="BacGiangday"/>
      <sheetName val="Chucdanhnghenghiep"/>
      <sheetName val="DM_QuocGia"/>
      <sheetName val="DanToc"/>
      <sheetName val="TonGiao"/>
      <sheetName val="DM_TinhThanhPho"/>
      <sheetName val="DM_QuanHuyen"/>
      <sheetName val="DM_XaPhuong"/>
      <sheetName val="DM_KhuVuc"/>
      <sheetName val="LoaiTruong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2F0B7-F436-469C-BE7C-5E029805505D}">
  <dimension ref="A1:T112"/>
  <sheetViews>
    <sheetView tabSelected="1" view="pageBreakPreview" zoomScaleNormal="85" zoomScaleSheetLayoutView="100" workbookViewId="0">
      <selection activeCell="M101" sqref="M101"/>
    </sheetView>
  </sheetViews>
  <sheetFormatPr defaultColWidth="8.08984375" defaultRowHeight="16.8" x14ac:dyDescent="0.3"/>
  <cols>
    <col min="1" max="1" width="5.81640625" style="2" customWidth="1"/>
    <col min="2" max="3" width="7.08984375" style="2" customWidth="1"/>
    <col min="4" max="4" width="11.453125" style="3" customWidth="1"/>
    <col min="5" max="5" width="28.54296875" style="4" customWidth="1"/>
    <col min="6" max="6" width="4.1796875" style="2" customWidth="1"/>
    <col min="7" max="9" width="5.6328125" style="2" customWidth="1"/>
    <col min="10" max="10" width="5.36328125" style="2" customWidth="1"/>
    <col min="11" max="11" width="9.54296875" style="2" customWidth="1"/>
    <col min="12" max="12" width="17.453125" style="4" customWidth="1"/>
    <col min="13" max="13" width="36" style="5" customWidth="1"/>
    <col min="14" max="14" width="5.81640625" style="6" customWidth="1"/>
    <col min="15" max="15" width="7.08984375" style="2" customWidth="1"/>
    <col min="16" max="16" width="5.453125" style="2" customWidth="1"/>
    <col min="17" max="17" width="3.6328125" style="7" customWidth="1"/>
    <col min="18" max="16384" width="8.08984375" style="2"/>
  </cols>
  <sheetData>
    <row r="1" spans="1:18" x14ac:dyDescent="0.3">
      <c r="A1" s="1" t="s">
        <v>0</v>
      </c>
    </row>
    <row r="2" spans="1:18" x14ac:dyDescent="0.3">
      <c r="A2" s="1" t="s">
        <v>1</v>
      </c>
    </row>
    <row r="3" spans="1:18" ht="10.35" customHeight="1" x14ac:dyDescent="0.3"/>
    <row r="4" spans="1:18" ht="25.5" customHeight="1" x14ac:dyDescent="0.3">
      <c r="A4" s="8" t="s">
        <v>182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10">
        <f>SUM(N9:N103)</f>
        <v>132</v>
      </c>
      <c r="O4" s="11"/>
    </row>
    <row r="5" spans="1:18" ht="8.4" customHeight="1" x14ac:dyDescent="0.3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</row>
    <row r="6" spans="1:18" s="13" customFormat="1" ht="14.4" thickBot="1" x14ac:dyDescent="0.3">
      <c r="D6" s="14"/>
      <c r="E6" s="15">
        <v>2</v>
      </c>
      <c r="F6" s="13">
        <v>4</v>
      </c>
      <c r="G6" s="13">
        <v>5</v>
      </c>
      <c r="H6" s="13">
        <v>6</v>
      </c>
      <c r="J6" s="13">
        <v>7</v>
      </c>
      <c r="K6" s="13">
        <v>9</v>
      </c>
      <c r="L6" s="15">
        <v>10</v>
      </c>
      <c r="M6" s="15">
        <v>11</v>
      </c>
      <c r="Q6" s="7"/>
    </row>
    <row r="7" spans="1:18" ht="24" customHeight="1" x14ac:dyDescent="0.3">
      <c r="A7" s="127" t="s">
        <v>2</v>
      </c>
      <c r="B7" s="129" t="s">
        <v>183</v>
      </c>
      <c r="C7" s="131" t="s">
        <v>184</v>
      </c>
      <c r="D7" s="133" t="s">
        <v>3</v>
      </c>
      <c r="E7" s="129" t="s">
        <v>185</v>
      </c>
      <c r="F7" s="129" t="s">
        <v>4</v>
      </c>
      <c r="G7" s="129" t="s">
        <v>186</v>
      </c>
      <c r="H7" s="129"/>
      <c r="I7" s="129"/>
      <c r="J7" s="129"/>
      <c r="K7" s="129" t="s">
        <v>187</v>
      </c>
      <c r="L7" s="129" t="s">
        <v>188</v>
      </c>
      <c r="M7" s="138" t="s">
        <v>189</v>
      </c>
      <c r="N7" s="125" t="s">
        <v>190</v>
      </c>
      <c r="O7" s="125" t="s">
        <v>8</v>
      </c>
    </row>
    <row r="8" spans="1:18" ht="24" customHeight="1" thickBot="1" x14ac:dyDescent="0.35">
      <c r="A8" s="128"/>
      <c r="B8" s="130"/>
      <c r="C8" s="132"/>
      <c r="D8" s="134"/>
      <c r="E8" s="130"/>
      <c r="F8" s="130"/>
      <c r="G8" s="16" t="s">
        <v>5</v>
      </c>
      <c r="H8" s="16" t="s">
        <v>6</v>
      </c>
      <c r="I8" s="16" t="s">
        <v>7</v>
      </c>
      <c r="J8" s="16" t="s">
        <v>2</v>
      </c>
      <c r="K8" s="130"/>
      <c r="L8" s="130"/>
      <c r="M8" s="139"/>
      <c r="N8" s="126"/>
      <c r="O8" s="126"/>
    </row>
    <row r="9" spans="1:18" ht="25.5" customHeight="1" x14ac:dyDescent="0.4">
      <c r="A9" s="135" t="s">
        <v>191</v>
      </c>
      <c r="B9" s="17">
        <v>1</v>
      </c>
      <c r="C9" s="17">
        <v>1</v>
      </c>
      <c r="D9" s="18" t="s">
        <v>34</v>
      </c>
      <c r="E9" s="19" t="s">
        <v>35</v>
      </c>
      <c r="F9" s="17">
        <v>3</v>
      </c>
      <c r="G9" s="17">
        <v>30</v>
      </c>
      <c r="H9" s="17">
        <v>30</v>
      </c>
      <c r="I9" s="17"/>
      <c r="J9" s="17">
        <v>0</v>
      </c>
      <c r="K9" s="17" t="s">
        <v>11</v>
      </c>
      <c r="L9" s="20" t="s">
        <v>36</v>
      </c>
      <c r="M9" s="21" t="s">
        <v>13</v>
      </c>
      <c r="N9" s="22">
        <f>SUM(F9:F12)</f>
        <v>12</v>
      </c>
      <c r="O9" s="23"/>
      <c r="P9" s="2">
        <v>12</v>
      </c>
      <c r="Q9" s="7">
        <v>1</v>
      </c>
    </row>
    <row r="10" spans="1:18" x14ac:dyDescent="0.3">
      <c r="A10" s="136"/>
      <c r="B10" s="24">
        <v>1</v>
      </c>
      <c r="C10" s="24">
        <v>1</v>
      </c>
      <c r="D10" s="25" t="s">
        <v>63</v>
      </c>
      <c r="E10" s="26" t="s">
        <v>192</v>
      </c>
      <c r="F10" s="24">
        <v>3</v>
      </c>
      <c r="G10" s="24">
        <v>30</v>
      </c>
      <c r="H10" s="24">
        <v>30</v>
      </c>
      <c r="I10" s="24"/>
      <c r="J10" s="24">
        <v>0</v>
      </c>
      <c r="K10" s="24" t="s">
        <v>11</v>
      </c>
      <c r="L10" s="27" t="s">
        <v>64</v>
      </c>
      <c r="M10" s="28" t="s">
        <v>12</v>
      </c>
      <c r="N10" s="29"/>
      <c r="O10" s="30"/>
      <c r="Q10" s="7">
        <f t="shared" ref="Q10:Q13" si="0">Q9</f>
        <v>1</v>
      </c>
      <c r="R10" s="2" t="str">
        <f>IFERROR(VLOOKUP(D10,$D$9:D9,1,0),"")</f>
        <v/>
      </c>
    </row>
    <row r="11" spans="1:18" x14ac:dyDescent="0.3">
      <c r="A11" s="136"/>
      <c r="B11" s="24">
        <v>1</v>
      </c>
      <c r="C11" s="24">
        <v>1</v>
      </c>
      <c r="D11" s="31" t="s">
        <v>65</v>
      </c>
      <c r="E11" s="32" t="s">
        <v>193</v>
      </c>
      <c r="F11" s="25">
        <v>3</v>
      </c>
      <c r="G11" s="25">
        <v>30</v>
      </c>
      <c r="H11" s="25">
        <v>30</v>
      </c>
      <c r="I11" s="25"/>
      <c r="J11" s="25">
        <v>0</v>
      </c>
      <c r="K11" s="25" t="s">
        <v>11</v>
      </c>
      <c r="L11" s="33" t="s">
        <v>64</v>
      </c>
      <c r="M11" s="34" t="s">
        <v>12</v>
      </c>
      <c r="N11" s="29"/>
      <c r="O11" s="30"/>
      <c r="Q11" s="7">
        <f t="shared" si="0"/>
        <v>1</v>
      </c>
      <c r="R11" s="2" t="str">
        <f>IFERROR(VLOOKUP(D11,$D$9:D10,1,0),"")</f>
        <v/>
      </c>
    </row>
    <row r="12" spans="1:18" x14ac:dyDescent="0.3">
      <c r="A12" s="136"/>
      <c r="B12" s="24">
        <v>1</v>
      </c>
      <c r="C12" s="24">
        <v>1</v>
      </c>
      <c r="D12" s="31" t="s">
        <v>20</v>
      </c>
      <c r="E12" s="32" t="s">
        <v>21</v>
      </c>
      <c r="F12" s="25">
        <v>3</v>
      </c>
      <c r="G12" s="25">
        <v>45</v>
      </c>
      <c r="H12" s="25">
        <v>0</v>
      </c>
      <c r="I12" s="25"/>
      <c r="J12" s="25">
        <v>0</v>
      </c>
      <c r="K12" s="25" t="s">
        <v>11</v>
      </c>
      <c r="L12" s="33" t="s">
        <v>12</v>
      </c>
      <c r="M12" s="34" t="s">
        <v>12</v>
      </c>
      <c r="N12" s="29"/>
      <c r="O12" s="30"/>
      <c r="Q12" s="7">
        <f t="shared" si="0"/>
        <v>1</v>
      </c>
      <c r="R12" s="2" t="str">
        <f>IFERROR(VLOOKUP(D12,$D$9:D11,1,0),"")</f>
        <v/>
      </c>
    </row>
    <row r="13" spans="1:18" ht="17.399999999999999" thickBot="1" x14ac:dyDescent="0.35">
      <c r="A13" s="137"/>
      <c r="B13" s="35"/>
      <c r="C13" s="35"/>
      <c r="D13" s="36"/>
      <c r="E13" s="37"/>
      <c r="F13" s="38"/>
      <c r="G13" s="38"/>
      <c r="H13" s="38"/>
      <c r="I13" s="38"/>
      <c r="J13" s="38"/>
      <c r="K13" s="38"/>
      <c r="L13" s="39"/>
      <c r="M13" s="40"/>
      <c r="N13" s="41"/>
      <c r="O13" s="42"/>
      <c r="Q13" s="7">
        <f t="shared" si="0"/>
        <v>1</v>
      </c>
      <c r="R13" s="2" t="str">
        <f>IFERROR(VLOOKUP(D13,$D$9:D12,1,0),"")</f>
        <v/>
      </c>
    </row>
    <row r="14" spans="1:18" ht="27.6" x14ac:dyDescent="0.4">
      <c r="A14" s="140" t="s">
        <v>194</v>
      </c>
      <c r="B14" s="43">
        <v>2</v>
      </c>
      <c r="C14" s="43">
        <v>1</v>
      </c>
      <c r="D14" s="44" t="s">
        <v>37</v>
      </c>
      <c r="E14" s="45" t="s">
        <v>38</v>
      </c>
      <c r="F14" s="46">
        <v>3</v>
      </c>
      <c r="G14" s="46">
        <v>30</v>
      </c>
      <c r="H14" s="46">
        <v>30</v>
      </c>
      <c r="I14" s="46"/>
      <c r="J14" s="46">
        <v>0</v>
      </c>
      <c r="K14" s="46" t="s">
        <v>11</v>
      </c>
      <c r="L14" s="47" t="s">
        <v>39</v>
      </c>
      <c r="M14" s="48" t="s">
        <v>13</v>
      </c>
      <c r="N14" s="49">
        <f>SUM(F14:F17)</f>
        <v>13</v>
      </c>
      <c r="O14" s="23"/>
      <c r="P14" s="2">
        <f>P9+N14</f>
        <v>25</v>
      </c>
      <c r="Q14" s="7">
        <v>2</v>
      </c>
      <c r="R14" s="2" t="str">
        <f>IFERROR(VLOOKUP(D14,$D$9:D13,1,0),"")</f>
        <v/>
      </c>
    </row>
    <row r="15" spans="1:18" x14ac:dyDescent="0.3">
      <c r="A15" s="136"/>
      <c r="B15" s="24">
        <v>2</v>
      </c>
      <c r="C15" s="24">
        <v>1</v>
      </c>
      <c r="D15" s="31" t="s">
        <v>16</v>
      </c>
      <c r="E15" s="32" t="s">
        <v>17</v>
      </c>
      <c r="F15" s="25">
        <v>4</v>
      </c>
      <c r="G15" s="25">
        <v>45</v>
      </c>
      <c r="H15" s="25">
        <v>30</v>
      </c>
      <c r="I15" s="25"/>
      <c r="J15" s="25">
        <v>0</v>
      </c>
      <c r="K15" s="25" t="s">
        <v>11</v>
      </c>
      <c r="L15" s="33" t="s">
        <v>12</v>
      </c>
      <c r="M15" s="50" t="s">
        <v>13</v>
      </c>
      <c r="N15" s="51"/>
      <c r="O15" s="30"/>
      <c r="Q15" s="7">
        <v>2</v>
      </c>
      <c r="R15" s="2" t="str">
        <f>IFERROR(VLOOKUP(D15,$D$9:D14,1,0),"")</f>
        <v/>
      </c>
    </row>
    <row r="16" spans="1:18" ht="27.6" x14ac:dyDescent="0.3">
      <c r="A16" s="136"/>
      <c r="B16" s="24">
        <v>2</v>
      </c>
      <c r="C16" s="24">
        <v>1</v>
      </c>
      <c r="D16" s="31" t="s">
        <v>67</v>
      </c>
      <c r="E16" s="32" t="s">
        <v>195</v>
      </c>
      <c r="F16" s="25">
        <v>3</v>
      </c>
      <c r="G16" s="25">
        <v>30</v>
      </c>
      <c r="H16" s="25">
        <v>30</v>
      </c>
      <c r="I16" s="25"/>
      <c r="J16" s="25">
        <v>0</v>
      </c>
      <c r="K16" s="25" t="s">
        <v>11</v>
      </c>
      <c r="L16" s="33" t="s">
        <v>64</v>
      </c>
      <c r="M16" s="50" t="s">
        <v>12</v>
      </c>
      <c r="N16" s="51"/>
      <c r="O16" s="30"/>
      <c r="Q16" s="7">
        <f t="shared" ref="Q16:Q18" si="1">Q15</f>
        <v>2</v>
      </c>
      <c r="R16" s="2" t="str">
        <f>IFERROR(VLOOKUP(D16,$D$9:D15,1,0),"")</f>
        <v/>
      </c>
    </row>
    <row r="17" spans="1:20" x14ac:dyDescent="0.3">
      <c r="A17" s="136"/>
      <c r="B17" s="24">
        <v>2</v>
      </c>
      <c r="C17" s="24">
        <v>1</v>
      </c>
      <c r="D17" s="31" t="s">
        <v>72</v>
      </c>
      <c r="E17" s="32" t="s">
        <v>196</v>
      </c>
      <c r="F17" s="25">
        <v>3</v>
      </c>
      <c r="G17" s="25">
        <v>30</v>
      </c>
      <c r="H17" s="25">
        <v>30</v>
      </c>
      <c r="I17" s="25"/>
      <c r="J17" s="25">
        <v>0</v>
      </c>
      <c r="K17" s="25" t="s">
        <v>11</v>
      </c>
      <c r="L17" s="33" t="s">
        <v>64</v>
      </c>
      <c r="M17" s="50" t="s">
        <v>69</v>
      </c>
      <c r="N17" s="51"/>
      <c r="O17" s="30"/>
      <c r="Q17" s="7">
        <f t="shared" si="1"/>
        <v>2</v>
      </c>
      <c r="R17" s="2" t="str">
        <f>IFERROR(VLOOKUP(D17,$D$9:D16,1,0),"")</f>
        <v/>
      </c>
    </row>
    <row r="18" spans="1:20" ht="17.399999999999999" thickBot="1" x14ac:dyDescent="0.35">
      <c r="A18" s="136"/>
      <c r="B18" s="52"/>
      <c r="C18" s="52"/>
      <c r="D18" s="53"/>
      <c r="E18" s="54"/>
      <c r="F18" s="55"/>
      <c r="G18" s="55"/>
      <c r="H18" s="55"/>
      <c r="I18" s="55"/>
      <c r="J18" s="55"/>
      <c r="K18" s="55"/>
      <c r="L18" s="56"/>
      <c r="M18" s="57"/>
      <c r="N18" s="58"/>
      <c r="O18" s="42"/>
      <c r="Q18" s="7">
        <f t="shared" si="1"/>
        <v>2</v>
      </c>
      <c r="R18" s="2" t="str">
        <f>IFERROR(VLOOKUP(D18,$D$9:D17,1,0),"")</f>
        <v/>
      </c>
    </row>
    <row r="19" spans="1:20" ht="25.5" customHeight="1" x14ac:dyDescent="0.4">
      <c r="A19" s="135" t="s">
        <v>197</v>
      </c>
      <c r="B19" s="17">
        <v>3</v>
      </c>
      <c r="C19" s="17">
        <v>1</v>
      </c>
      <c r="D19" s="18" t="s">
        <v>40</v>
      </c>
      <c r="E19" s="59" t="s">
        <v>41</v>
      </c>
      <c r="F19" s="60">
        <v>3</v>
      </c>
      <c r="G19" s="60">
        <v>30</v>
      </c>
      <c r="H19" s="60">
        <v>30</v>
      </c>
      <c r="I19" s="60"/>
      <c r="J19" s="60">
        <v>0</v>
      </c>
      <c r="K19" s="60" t="s">
        <v>11</v>
      </c>
      <c r="L19" s="61" t="s">
        <v>42</v>
      </c>
      <c r="M19" s="62" t="s">
        <v>13</v>
      </c>
      <c r="N19" s="63">
        <f>SUM(F19:F22)</f>
        <v>12</v>
      </c>
      <c r="O19" s="23"/>
      <c r="P19" s="2">
        <f>P14+N19</f>
        <v>37</v>
      </c>
      <c r="Q19" s="7">
        <v>3</v>
      </c>
      <c r="R19" s="2" t="str">
        <f>IFERROR(VLOOKUP(D19,$D$9:D18,1,0),"")</f>
        <v/>
      </c>
    </row>
    <row r="20" spans="1:20" ht="20.399999999999999" customHeight="1" x14ac:dyDescent="0.3">
      <c r="A20" s="140"/>
      <c r="B20" s="24">
        <v>3</v>
      </c>
      <c r="C20" s="24">
        <v>1</v>
      </c>
      <c r="D20" s="31" t="s">
        <v>66</v>
      </c>
      <c r="E20" s="32" t="s">
        <v>198</v>
      </c>
      <c r="F20" s="25">
        <v>3</v>
      </c>
      <c r="G20" s="25">
        <v>30</v>
      </c>
      <c r="H20" s="25">
        <v>30</v>
      </c>
      <c r="I20" s="25"/>
      <c r="J20" s="25">
        <v>0</v>
      </c>
      <c r="K20" s="25" t="s">
        <v>11</v>
      </c>
      <c r="L20" s="33" t="s">
        <v>64</v>
      </c>
      <c r="M20" s="34" t="s">
        <v>12</v>
      </c>
      <c r="N20" s="51"/>
      <c r="O20" s="30"/>
      <c r="Q20" s="7">
        <v>3</v>
      </c>
      <c r="R20" s="2" t="str">
        <f>IFERROR(VLOOKUP(D20,$D$9:D19,1,0),"")</f>
        <v/>
      </c>
    </row>
    <row r="21" spans="1:20" x14ac:dyDescent="0.3">
      <c r="A21" s="140"/>
      <c r="B21" s="24">
        <v>3</v>
      </c>
      <c r="C21" s="24">
        <v>1</v>
      </c>
      <c r="D21" s="31" t="s">
        <v>68</v>
      </c>
      <c r="E21" s="32" t="s">
        <v>199</v>
      </c>
      <c r="F21" s="25">
        <v>3</v>
      </c>
      <c r="G21" s="25">
        <v>30</v>
      </c>
      <c r="H21" s="25">
        <v>30</v>
      </c>
      <c r="I21" s="25"/>
      <c r="J21" s="25">
        <v>0</v>
      </c>
      <c r="K21" s="25" t="s">
        <v>11</v>
      </c>
      <c r="L21" s="33" t="s">
        <v>64</v>
      </c>
      <c r="M21" s="34" t="s">
        <v>69</v>
      </c>
      <c r="N21" s="51"/>
      <c r="O21" s="30"/>
      <c r="Q21" s="7">
        <f t="shared" ref="Q21:Q27" si="2">Q20</f>
        <v>3</v>
      </c>
      <c r="R21" s="2" t="str">
        <f>IFERROR(VLOOKUP(D21,$D$9:D20,1,0),"")</f>
        <v/>
      </c>
    </row>
    <row r="22" spans="1:20" x14ac:dyDescent="0.3">
      <c r="A22" s="140"/>
      <c r="B22" s="24">
        <v>3</v>
      </c>
      <c r="C22" s="24">
        <v>1</v>
      </c>
      <c r="D22" s="25" t="s">
        <v>73</v>
      </c>
      <c r="E22" s="32" t="s">
        <v>200</v>
      </c>
      <c r="F22" s="25">
        <v>3</v>
      </c>
      <c r="G22" s="25">
        <v>30</v>
      </c>
      <c r="H22" s="25">
        <v>30</v>
      </c>
      <c r="I22" s="25"/>
      <c r="J22" s="25">
        <v>0</v>
      </c>
      <c r="K22" s="25" t="s">
        <v>11</v>
      </c>
      <c r="L22" s="33" t="s">
        <v>64</v>
      </c>
      <c r="M22" s="34" t="s">
        <v>69</v>
      </c>
      <c r="N22" s="51"/>
      <c r="O22" s="30"/>
      <c r="Q22" s="7">
        <f t="shared" si="2"/>
        <v>3</v>
      </c>
      <c r="R22" s="2" t="str">
        <f>IFERROR(VLOOKUP(D22,$D$9:D21,1,0),"")</f>
        <v/>
      </c>
    </row>
    <row r="23" spans="1:20" ht="27.6" x14ac:dyDescent="0.3">
      <c r="A23" s="140"/>
      <c r="B23" s="24">
        <v>3</v>
      </c>
      <c r="C23" s="24">
        <v>1</v>
      </c>
      <c r="D23" s="64" t="s">
        <v>55</v>
      </c>
      <c r="E23" s="65" t="s">
        <v>56</v>
      </c>
      <c r="F23" s="64">
        <v>3</v>
      </c>
      <c r="G23" s="64">
        <v>0</v>
      </c>
      <c r="H23" s="64">
        <v>0</v>
      </c>
      <c r="I23" s="64"/>
      <c r="J23" s="64">
        <v>0</v>
      </c>
      <c r="K23" s="64" t="s">
        <v>11</v>
      </c>
      <c r="L23" s="66">
        <v>0</v>
      </c>
      <c r="M23" s="67">
        <v>0</v>
      </c>
      <c r="N23" s="29"/>
      <c r="O23" s="30"/>
      <c r="Q23" s="7">
        <f t="shared" si="2"/>
        <v>3</v>
      </c>
      <c r="R23" s="2" t="str">
        <f>IFERROR(VLOOKUP(D23,$D$9:D22,1,0),"")</f>
        <v/>
      </c>
    </row>
    <row r="24" spans="1:20" x14ac:dyDescent="0.3">
      <c r="A24" s="140"/>
      <c r="B24" s="24">
        <v>3</v>
      </c>
      <c r="C24" s="24">
        <v>1</v>
      </c>
      <c r="D24" s="64" t="s">
        <v>57</v>
      </c>
      <c r="E24" s="65" t="s">
        <v>58</v>
      </c>
      <c r="F24" s="64">
        <v>2</v>
      </c>
      <c r="G24" s="64">
        <v>0</v>
      </c>
      <c r="H24" s="64">
        <v>0</v>
      </c>
      <c r="I24" s="64"/>
      <c r="J24" s="64">
        <v>0</v>
      </c>
      <c r="K24" s="64" t="s">
        <v>11</v>
      </c>
      <c r="L24" s="66">
        <v>0</v>
      </c>
      <c r="M24" s="67">
        <v>0</v>
      </c>
      <c r="N24" s="29"/>
      <c r="O24" s="30"/>
      <c r="Q24" s="7">
        <f t="shared" si="2"/>
        <v>3</v>
      </c>
      <c r="R24" s="2" t="str">
        <f>IFERROR(VLOOKUP(D24,$D$9:D23,1,0),"")</f>
        <v/>
      </c>
    </row>
    <row r="25" spans="1:20" x14ac:dyDescent="0.3">
      <c r="A25" s="140"/>
      <c r="B25" s="24">
        <v>3</v>
      </c>
      <c r="C25" s="24">
        <v>1</v>
      </c>
      <c r="D25" s="64" t="s">
        <v>59</v>
      </c>
      <c r="E25" s="65" t="s">
        <v>60</v>
      </c>
      <c r="F25" s="64">
        <v>2</v>
      </c>
      <c r="G25" s="64">
        <v>0</v>
      </c>
      <c r="H25" s="64">
        <v>0</v>
      </c>
      <c r="I25" s="64"/>
      <c r="J25" s="64">
        <v>0</v>
      </c>
      <c r="K25" s="64" t="s">
        <v>11</v>
      </c>
      <c r="L25" s="66">
        <v>0</v>
      </c>
      <c r="M25" s="67">
        <v>0</v>
      </c>
      <c r="N25" s="29"/>
      <c r="O25" s="30"/>
      <c r="Q25" s="7">
        <f t="shared" si="2"/>
        <v>3</v>
      </c>
      <c r="R25" s="2" t="str">
        <f>IFERROR(VLOOKUP(D25,$D$9:D24,1,0),"")</f>
        <v/>
      </c>
    </row>
    <row r="26" spans="1:20" ht="27.6" x14ac:dyDescent="0.3">
      <c r="A26" s="140"/>
      <c r="B26" s="24">
        <v>3</v>
      </c>
      <c r="C26" s="24">
        <v>1</v>
      </c>
      <c r="D26" s="64" t="s">
        <v>61</v>
      </c>
      <c r="E26" s="65" t="s">
        <v>62</v>
      </c>
      <c r="F26" s="64">
        <v>4</v>
      </c>
      <c r="G26" s="64">
        <v>0</v>
      </c>
      <c r="H26" s="64">
        <v>0</v>
      </c>
      <c r="I26" s="64"/>
      <c r="J26" s="64">
        <v>0</v>
      </c>
      <c r="K26" s="64" t="s">
        <v>11</v>
      </c>
      <c r="L26" s="66">
        <v>0</v>
      </c>
      <c r="M26" s="67">
        <v>0</v>
      </c>
      <c r="N26" s="29"/>
      <c r="O26" s="30"/>
      <c r="Q26" s="7">
        <f t="shared" si="2"/>
        <v>3</v>
      </c>
      <c r="R26" s="2" t="str">
        <f>IFERROR(VLOOKUP(D26,$D$9:D25,1,0),"")</f>
        <v/>
      </c>
    </row>
    <row r="27" spans="1:20" ht="17.399999999999999" thickBot="1" x14ac:dyDescent="0.35">
      <c r="A27" s="141"/>
      <c r="B27" s="35"/>
      <c r="C27" s="35"/>
      <c r="D27" s="36"/>
      <c r="E27" s="37"/>
      <c r="F27" s="38"/>
      <c r="G27" s="38"/>
      <c r="H27" s="38"/>
      <c r="I27" s="38"/>
      <c r="J27" s="38"/>
      <c r="K27" s="38"/>
      <c r="L27" s="39"/>
      <c r="M27" s="40"/>
      <c r="N27" s="68"/>
      <c r="O27" s="69"/>
      <c r="Q27" s="7">
        <f t="shared" si="2"/>
        <v>3</v>
      </c>
      <c r="R27" s="2" t="str">
        <f>IFERROR(VLOOKUP(D27,$D$9:D26,1,0),"")</f>
        <v/>
      </c>
    </row>
    <row r="28" spans="1:20" ht="24.6" x14ac:dyDescent="0.4">
      <c r="A28" s="140" t="s">
        <v>201</v>
      </c>
      <c r="B28" s="43">
        <v>1</v>
      </c>
      <c r="C28" s="43">
        <v>2</v>
      </c>
      <c r="D28" s="44"/>
      <c r="E28" s="70" t="s">
        <v>202</v>
      </c>
      <c r="F28" s="46"/>
      <c r="G28" s="46"/>
      <c r="H28" s="46"/>
      <c r="I28" s="46"/>
      <c r="J28" s="46"/>
      <c r="K28" s="46"/>
      <c r="L28" s="47"/>
      <c r="M28" s="48"/>
      <c r="N28" s="49">
        <f>SUM(F28:F33)</f>
        <v>16</v>
      </c>
      <c r="O28" s="71"/>
      <c r="P28" s="2">
        <f>P19+N28</f>
        <v>53</v>
      </c>
      <c r="Q28" s="7">
        <v>4</v>
      </c>
      <c r="R28" s="2" t="str">
        <f>IFERROR(VLOOKUP(D28,$D$9:D27,1,0),"")</f>
        <v/>
      </c>
    </row>
    <row r="29" spans="1:20" x14ac:dyDescent="0.3">
      <c r="A29" s="140"/>
      <c r="B29" s="24">
        <v>1</v>
      </c>
      <c r="C29" s="24">
        <v>2</v>
      </c>
      <c r="D29" s="72" t="s">
        <v>22</v>
      </c>
      <c r="E29" s="26" t="s">
        <v>23</v>
      </c>
      <c r="F29" s="24">
        <v>3</v>
      </c>
      <c r="G29" s="24">
        <v>45</v>
      </c>
      <c r="H29" s="24">
        <v>0</v>
      </c>
      <c r="I29" s="24"/>
      <c r="J29" s="24">
        <v>0</v>
      </c>
      <c r="K29" s="24" t="s">
        <v>11</v>
      </c>
      <c r="L29" s="27" t="s">
        <v>12</v>
      </c>
      <c r="M29" s="73" t="s">
        <v>12</v>
      </c>
      <c r="N29" s="74"/>
      <c r="O29" s="75"/>
      <c r="P29" s="76"/>
      <c r="Q29" s="7">
        <v>4</v>
      </c>
      <c r="R29" s="76" t="str">
        <f>IFERROR(VLOOKUP(D29,$D$9:D27,1,0),"")</f>
        <v/>
      </c>
      <c r="S29" s="76"/>
      <c r="T29" s="76"/>
    </row>
    <row r="30" spans="1:20" ht="27.6" x14ac:dyDescent="0.3">
      <c r="A30" s="136"/>
      <c r="B30" s="24">
        <v>1</v>
      </c>
      <c r="C30" s="24">
        <v>2</v>
      </c>
      <c r="D30" s="31" t="s">
        <v>43</v>
      </c>
      <c r="E30" s="26" t="s">
        <v>44</v>
      </c>
      <c r="F30" s="24">
        <v>3</v>
      </c>
      <c r="G30" s="24">
        <v>30</v>
      </c>
      <c r="H30" s="24">
        <v>30</v>
      </c>
      <c r="I30" s="24"/>
      <c r="J30" s="24">
        <v>0</v>
      </c>
      <c r="K30" s="24" t="s">
        <v>11</v>
      </c>
      <c r="L30" s="27" t="s">
        <v>45</v>
      </c>
      <c r="M30" s="73" t="s">
        <v>13</v>
      </c>
      <c r="N30" s="51"/>
      <c r="O30" s="30"/>
      <c r="Q30" s="7">
        <f>Q28</f>
        <v>4</v>
      </c>
      <c r="R30" s="2" t="str">
        <f>IFERROR(VLOOKUP(D30,$D$9:D28,1,0),"")</f>
        <v/>
      </c>
    </row>
    <row r="31" spans="1:20" x14ac:dyDescent="0.3">
      <c r="A31" s="136"/>
      <c r="B31" s="24">
        <v>1</v>
      </c>
      <c r="C31" s="24">
        <v>2</v>
      </c>
      <c r="D31" s="31" t="s">
        <v>70</v>
      </c>
      <c r="E31" s="32" t="s">
        <v>203</v>
      </c>
      <c r="F31" s="25">
        <v>4</v>
      </c>
      <c r="G31" s="25">
        <v>45</v>
      </c>
      <c r="H31" s="25">
        <v>30</v>
      </c>
      <c r="I31" s="25"/>
      <c r="J31" s="25">
        <v>0</v>
      </c>
      <c r="K31" s="25" t="s">
        <v>11</v>
      </c>
      <c r="L31" s="33" t="s">
        <v>64</v>
      </c>
      <c r="M31" s="50" t="s">
        <v>71</v>
      </c>
      <c r="N31" s="51"/>
      <c r="O31" s="30"/>
      <c r="Q31" s="7">
        <f t="shared" ref="Q31:Q33" si="3">Q30</f>
        <v>4</v>
      </c>
      <c r="R31" s="2" t="str">
        <f>IFERROR(VLOOKUP(D31,$D$9:D30,1,0),"")</f>
        <v/>
      </c>
    </row>
    <row r="32" spans="1:20" x14ac:dyDescent="0.3">
      <c r="A32" s="136"/>
      <c r="B32" s="24">
        <v>1</v>
      </c>
      <c r="C32" s="24">
        <v>2</v>
      </c>
      <c r="D32" s="31" t="s">
        <v>74</v>
      </c>
      <c r="E32" s="32" t="s">
        <v>75</v>
      </c>
      <c r="F32" s="25">
        <v>3</v>
      </c>
      <c r="G32" s="25">
        <v>30</v>
      </c>
      <c r="H32" s="25">
        <v>30</v>
      </c>
      <c r="I32" s="25"/>
      <c r="J32" s="25">
        <v>0</v>
      </c>
      <c r="K32" s="25" t="s">
        <v>11</v>
      </c>
      <c r="L32" s="33" t="s">
        <v>64</v>
      </c>
      <c r="M32" s="50" t="s">
        <v>69</v>
      </c>
      <c r="N32" s="51"/>
      <c r="O32" s="30"/>
      <c r="Q32" s="7">
        <f t="shared" si="3"/>
        <v>4</v>
      </c>
      <c r="R32" s="2" t="str">
        <f>IFERROR(VLOOKUP(D32,$D$9:D31,1,0),"")</f>
        <v/>
      </c>
    </row>
    <row r="33" spans="1:18" ht="17.399999999999999" thickBot="1" x14ac:dyDescent="0.35">
      <c r="A33" s="136"/>
      <c r="B33" s="52">
        <v>1</v>
      </c>
      <c r="C33" s="52">
        <v>2</v>
      </c>
      <c r="D33" s="53" t="s">
        <v>79</v>
      </c>
      <c r="E33" s="54" t="s">
        <v>80</v>
      </c>
      <c r="F33" s="55">
        <v>3</v>
      </c>
      <c r="G33" s="55">
        <v>30</v>
      </c>
      <c r="H33" s="55">
        <v>30</v>
      </c>
      <c r="I33" s="55"/>
      <c r="J33" s="55">
        <v>0</v>
      </c>
      <c r="K33" s="55" t="s">
        <v>11</v>
      </c>
      <c r="L33" s="56" t="s">
        <v>12</v>
      </c>
      <c r="M33" s="57" t="s">
        <v>69</v>
      </c>
      <c r="N33" s="58"/>
      <c r="O33" s="69"/>
      <c r="Q33" s="7">
        <f t="shared" si="3"/>
        <v>4</v>
      </c>
      <c r="R33" s="2" t="str">
        <f>IFERROR(VLOOKUP(D33,$D$9:D32,1,0),"")</f>
        <v/>
      </c>
    </row>
    <row r="34" spans="1:18" ht="24.6" x14ac:dyDescent="0.4">
      <c r="A34" s="135" t="s">
        <v>204</v>
      </c>
      <c r="B34" s="17">
        <v>2</v>
      </c>
      <c r="C34" s="17">
        <v>2</v>
      </c>
      <c r="D34" s="18" t="s">
        <v>18</v>
      </c>
      <c r="E34" s="19" t="s">
        <v>19</v>
      </c>
      <c r="F34" s="17">
        <v>3</v>
      </c>
      <c r="G34" s="17">
        <v>30</v>
      </c>
      <c r="H34" s="17">
        <v>30</v>
      </c>
      <c r="I34" s="17"/>
      <c r="J34" s="17">
        <v>0</v>
      </c>
      <c r="K34" s="17" t="s">
        <v>11</v>
      </c>
      <c r="L34" s="20" t="s">
        <v>12</v>
      </c>
      <c r="M34" s="21" t="s">
        <v>13</v>
      </c>
      <c r="N34" s="22">
        <f>SUM(F34:F37)+3</f>
        <v>15</v>
      </c>
      <c r="O34" s="71"/>
      <c r="P34" s="2">
        <f>P28+N34</f>
        <v>68</v>
      </c>
      <c r="Q34" s="7">
        <v>5</v>
      </c>
      <c r="R34" s="2" t="str">
        <f>IFERROR(VLOOKUP(D34,$D$9:D33,1,0),"")</f>
        <v/>
      </c>
    </row>
    <row r="35" spans="1:18" ht="27.6" x14ac:dyDescent="0.3">
      <c r="A35" s="136"/>
      <c r="B35" s="24">
        <v>2</v>
      </c>
      <c r="C35" s="24">
        <v>2</v>
      </c>
      <c r="D35" s="31" t="s">
        <v>46</v>
      </c>
      <c r="E35" s="32" t="s">
        <v>47</v>
      </c>
      <c r="F35" s="25">
        <v>3</v>
      </c>
      <c r="G35" s="25">
        <v>30</v>
      </c>
      <c r="H35" s="25">
        <v>30</v>
      </c>
      <c r="I35" s="25"/>
      <c r="J35" s="25">
        <v>0</v>
      </c>
      <c r="K35" s="25" t="s">
        <v>11</v>
      </c>
      <c r="L35" s="33" t="s">
        <v>48</v>
      </c>
      <c r="M35" s="34" t="s">
        <v>13</v>
      </c>
      <c r="N35" s="29"/>
      <c r="O35" s="30"/>
      <c r="Q35" s="7">
        <f t="shared" ref="Q35:Q42" si="4">Q34</f>
        <v>5</v>
      </c>
      <c r="R35" s="2" t="str">
        <f>IFERROR(VLOOKUP(D35,$D$9:D34,1,0),"")</f>
        <v/>
      </c>
    </row>
    <row r="36" spans="1:18" x14ac:dyDescent="0.3">
      <c r="A36" s="136"/>
      <c r="B36" s="24">
        <v>2</v>
      </c>
      <c r="C36" s="24">
        <v>2</v>
      </c>
      <c r="D36" s="25" t="s">
        <v>81</v>
      </c>
      <c r="E36" s="32" t="s">
        <v>82</v>
      </c>
      <c r="F36" s="25">
        <v>3</v>
      </c>
      <c r="G36" s="25">
        <v>30</v>
      </c>
      <c r="H36" s="25">
        <v>30</v>
      </c>
      <c r="I36" s="25"/>
      <c r="J36" s="25">
        <v>0</v>
      </c>
      <c r="K36" s="25" t="s">
        <v>11</v>
      </c>
      <c r="L36" s="33" t="s">
        <v>12</v>
      </c>
      <c r="M36" s="34" t="s">
        <v>12</v>
      </c>
      <c r="N36" s="29"/>
      <c r="O36" s="30"/>
      <c r="Q36" s="7">
        <f t="shared" si="4"/>
        <v>5</v>
      </c>
      <c r="R36" s="2" t="str">
        <f>IFERROR(VLOOKUP(D36,$D$9:D35,1,0),"")</f>
        <v/>
      </c>
    </row>
    <row r="37" spans="1:18" x14ac:dyDescent="0.3">
      <c r="A37" s="136"/>
      <c r="B37" s="24">
        <v>2</v>
      </c>
      <c r="C37" s="24">
        <v>2</v>
      </c>
      <c r="D37" s="31" t="s">
        <v>76</v>
      </c>
      <c r="E37" s="26" t="s">
        <v>77</v>
      </c>
      <c r="F37" s="24">
        <v>3</v>
      </c>
      <c r="G37" s="24">
        <v>30</v>
      </c>
      <c r="H37" s="24">
        <v>30</v>
      </c>
      <c r="I37" s="24"/>
      <c r="J37" s="24">
        <v>0</v>
      </c>
      <c r="K37" s="24" t="s">
        <v>11</v>
      </c>
      <c r="L37" s="27" t="s">
        <v>64</v>
      </c>
      <c r="M37" s="28" t="s">
        <v>78</v>
      </c>
      <c r="N37" s="29"/>
      <c r="O37" s="30"/>
      <c r="Q37" s="7">
        <f t="shared" si="4"/>
        <v>5</v>
      </c>
      <c r="R37" s="2" t="str">
        <f>IFERROR(VLOOKUP(D37,$D$9:D36,1,0),"")</f>
        <v/>
      </c>
    </row>
    <row r="38" spans="1:18" x14ac:dyDescent="0.3">
      <c r="A38" s="136"/>
      <c r="B38" s="77"/>
      <c r="C38" s="78" t="s">
        <v>205</v>
      </c>
      <c r="D38" s="78"/>
      <c r="E38" s="79"/>
      <c r="F38" s="80"/>
      <c r="G38" s="77"/>
      <c r="H38" s="77"/>
      <c r="I38" s="77"/>
      <c r="J38" s="77"/>
      <c r="K38" s="77"/>
      <c r="L38" s="81"/>
      <c r="M38" s="82"/>
      <c r="N38" s="83"/>
      <c r="O38" s="84"/>
      <c r="Q38" s="7">
        <f t="shared" si="4"/>
        <v>5</v>
      </c>
      <c r="R38" s="2" t="str">
        <f>IFERROR(VLOOKUP(D38,$D$9:D37,1,0),"")</f>
        <v/>
      </c>
    </row>
    <row r="39" spans="1:18" x14ac:dyDescent="0.3">
      <c r="A39" s="136"/>
      <c r="B39" s="24">
        <v>2</v>
      </c>
      <c r="C39" s="24">
        <v>2</v>
      </c>
      <c r="D39" s="25" t="s">
        <v>94</v>
      </c>
      <c r="E39" s="32" t="s">
        <v>95</v>
      </c>
      <c r="F39" s="25">
        <v>3</v>
      </c>
      <c r="G39" s="25">
        <v>30</v>
      </c>
      <c r="H39" s="25">
        <v>30</v>
      </c>
      <c r="I39" s="25"/>
      <c r="J39" s="25">
        <v>0</v>
      </c>
      <c r="K39" s="25" t="s">
        <v>85</v>
      </c>
      <c r="L39" s="33" t="s">
        <v>12</v>
      </c>
      <c r="M39" s="34" t="s">
        <v>78</v>
      </c>
      <c r="N39" s="29"/>
      <c r="O39" s="30"/>
      <c r="Q39" s="7">
        <f t="shared" si="4"/>
        <v>5</v>
      </c>
      <c r="R39" s="2" t="str">
        <f>IFERROR(VLOOKUP(D39,$D$9:D38,1,0),"")</f>
        <v/>
      </c>
    </row>
    <row r="40" spans="1:18" x14ac:dyDescent="0.3">
      <c r="A40" s="136"/>
      <c r="B40" s="24">
        <v>2</v>
      </c>
      <c r="C40" s="24">
        <v>2</v>
      </c>
      <c r="D40" s="25" t="s">
        <v>86</v>
      </c>
      <c r="E40" s="32" t="s">
        <v>87</v>
      </c>
      <c r="F40" s="25">
        <v>3</v>
      </c>
      <c r="G40" s="25">
        <v>30</v>
      </c>
      <c r="H40" s="25">
        <v>30</v>
      </c>
      <c r="I40" s="25"/>
      <c r="J40" s="25">
        <v>0</v>
      </c>
      <c r="K40" s="25" t="s">
        <v>85</v>
      </c>
      <c r="L40" s="33" t="s">
        <v>64</v>
      </c>
      <c r="M40" s="34" t="s">
        <v>88</v>
      </c>
      <c r="N40" s="29"/>
      <c r="O40" s="30"/>
      <c r="Q40" s="7">
        <f t="shared" si="4"/>
        <v>5</v>
      </c>
      <c r="R40" s="2" t="str">
        <f>IFERROR(VLOOKUP(D40,$D$9:D39,1,0),"")</f>
        <v/>
      </c>
    </row>
    <row r="41" spans="1:18" x14ac:dyDescent="0.3">
      <c r="A41" s="136"/>
      <c r="B41" s="24">
        <v>2</v>
      </c>
      <c r="C41" s="24">
        <v>2</v>
      </c>
      <c r="D41" s="25" t="s">
        <v>96</v>
      </c>
      <c r="E41" s="32" t="s">
        <v>97</v>
      </c>
      <c r="F41" s="25">
        <v>3</v>
      </c>
      <c r="G41" s="25">
        <v>30</v>
      </c>
      <c r="H41" s="25">
        <v>30</v>
      </c>
      <c r="I41" s="25"/>
      <c r="J41" s="25">
        <v>0</v>
      </c>
      <c r="K41" s="25" t="s">
        <v>85</v>
      </c>
      <c r="L41" s="33" t="s">
        <v>12</v>
      </c>
      <c r="M41" s="34" t="s">
        <v>78</v>
      </c>
      <c r="N41" s="29"/>
      <c r="O41" s="30"/>
      <c r="Q41" s="7">
        <f t="shared" si="4"/>
        <v>5</v>
      </c>
      <c r="R41" s="2" t="str">
        <f>IFERROR(VLOOKUP(D41,$D$9:D40,1,0),"")</f>
        <v/>
      </c>
    </row>
    <row r="42" spans="1:18" ht="17.399999999999999" thickBot="1" x14ac:dyDescent="0.35">
      <c r="A42" s="136"/>
      <c r="B42" s="52">
        <v>2</v>
      </c>
      <c r="C42" s="52">
        <v>2</v>
      </c>
      <c r="D42" s="55" t="s">
        <v>89</v>
      </c>
      <c r="E42" s="54" t="s">
        <v>90</v>
      </c>
      <c r="F42" s="52">
        <v>3</v>
      </c>
      <c r="G42" s="52">
        <v>30</v>
      </c>
      <c r="H42" s="52">
        <v>30</v>
      </c>
      <c r="I42" s="52"/>
      <c r="J42" s="52">
        <v>0</v>
      </c>
      <c r="K42" s="52" t="s">
        <v>85</v>
      </c>
      <c r="L42" s="85" t="s">
        <v>64</v>
      </c>
      <c r="M42" s="86" t="s">
        <v>91</v>
      </c>
      <c r="N42" s="41"/>
      <c r="O42" s="69"/>
      <c r="Q42" s="7">
        <f t="shared" si="4"/>
        <v>5</v>
      </c>
      <c r="R42" s="2" t="str">
        <f>IFERROR(VLOOKUP(D42,$D$9:D41,1,0),"")</f>
        <v/>
      </c>
    </row>
    <row r="43" spans="1:18" ht="16.95" customHeight="1" x14ac:dyDescent="0.4">
      <c r="A43" s="135" t="s">
        <v>206</v>
      </c>
      <c r="B43" s="17">
        <v>3</v>
      </c>
      <c r="C43" s="17">
        <v>2</v>
      </c>
      <c r="D43" s="18"/>
      <c r="E43" s="19"/>
      <c r="F43" s="17"/>
      <c r="G43" s="17"/>
      <c r="H43" s="17"/>
      <c r="I43" s="17"/>
      <c r="J43" s="17"/>
      <c r="K43" s="17"/>
      <c r="L43" s="20"/>
      <c r="M43" s="87"/>
      <c r="N43" s="88">
        <f>SUM(F43:F44)+3+6</f>
        <v>12</v>
      </c>
      <c r="O43" s="71"/>
      <c r="P43" s="2">
        <f>P34+N43</f>
        <v>80</v>
      </c>
      <c r="Q43" s="7">
        <v>6</v>
      </c>
      <c r="R43" s="2" t="str">
        <f>IFERROR(VLOOKUP(D43,$D$9:D42,1,0),"")</f>
        <v/>
      </c>
    </row>
    <row r="44" spans="1:18" ht="27.6" x14ac:dyDescent="0.3">
      <c r="A44" s="136"/>
      <c r="B44" s="24">
        <v>3</v>
      </c>
      <c r="C44" s="24">
        <v>2</v>
      </c>
      <c r="D44" s="31" t="s">
        <v>49</v>
      </c>
      <c r="E44" s="32" t="s">
        <v>50</v>
      </c>
      <c r="F44" s="25">
        <v>3</v>
      </c>
      <c r="G44" s="25">
        <v>45</v>
      </c>
      <c r="H44" s="25">
        <v>0</v>
      </c>
      <c r="I44" s="25"/>
      <c r="J44" s="25">
        <v>0</v>
      </c>
      <c r="K44" s="25" t="s">
        <v>11</v>
      </c>
      <c r="L44" s="33" t="s">
        <v>51</v>
      </c>
      <c r="M44" s="50" t="s">
        <v>13</v>
      </c>
      <c r="N44" s="29"/>
      <c r="O44" s="30"/>
      <c r="Q44" s="7">
        <f t="shared" ref="Q44:Q57" si="5">Q43</f>
        <v>6</v>
      </c>
      <c r="R44" s="2" t="str">
        <f>IFERROR(VLOOKUP(D44,$D$9:D43,1,0),"")</f>
        <v/>
      </c>
    </row>
    <row r="45" spans="1:18" x14ac:dyDescent="0.3">
      <c r="A45" s="136"/>
      <c r="B45" s="77"/>
      <c r="C45" s="78" t="s">
        <v>207</v>
      </c>
      <c r="D45" s="78"/>
      <c r="E45" s="79"/>
      <c r="F45" s="77"/>
      <c r="G45" s="77"/>
      <c r="H45" s="77"/>
      <c r="I45" s="77"/>
      <c r="J45" s="77"/>
      <c r="K45" s="77"/>
      <c r="L45" s="81"/>
      <c r="M45" s="89"/>
      <c r="N45" s="83"/>
      <c r="O45" s="84"/>
      <c r="Q45" s="7">
        <f t="shared" si="5"/>
        <v>6</v>
      </c>
      <c r="R45" s="2" t="str">
        <f>IFERROR(VLOOKUP(D45,$D$9:D44,1,0),"")</f>
        <v/>
      </c>
    </row>
    <row r="46" spans="1:18" x14ac:dyDescent="0.3">
      <c r="A46" s="136"/>
      <c r="B46" s="24">
        <v>3</v>
      </c>
      <c r="C46" s="24">
        <v>2</v>
      </c>
      <c r="D46" s="31" t="s">
        <v>100</v>
      </c>
      <c r="E46" s="26" t="s">
        <v>101</v>
      </c>
      <c r="F46" s="24">
        <v>3</v>
      </c>
      <c r="G46" s="24">
        <v>30</v>
      </c>
      <c r="H46" s="24">
        <v>30</v>
      </c>
      <c r="I46" s="24"/>
      <c r="J46" s="24">
        <v>0</v>
      </c>
      <c r="K46" s="24" t="s">
        <v>11</v>
      </c>
      <c r="L46" s="27" t="s">
        <v>64</v>
      </c>
      <c r="M46" s="73" t="s">
        <v>78</v>
      </c>
      <c r="N46" s="29"/>
      <c r="O46" s="30"/>
      <c r="Q46" s="7">
        <f t="shared" si="5"/>
        <v>6</v>
      </c>
      <c r="R46" s="2" t="str">
        <f>IFERROR(VLOOKUP(D46,$D$9:D45,1,0),"")</f>
        <v/>
      </c>
    </row>
    <row r="47" spans="1:18" x14ac:dyDescent="0.3">
      <c r="A47" s="136"/>
      <c r="B47" s="77"/>
      <c r="C47" s="78" t="s">
        <v>208</v>
      </c>
      <c r="D47" s="78"/>
      <c r="E47" s="79"/>
      <c r="F47" s="80"/>
      <c r="G47" s="77"/>
      <c r="H47" s="77"/>
      <c r="I47" s="77"/>
      <c r="J47" s="77"/>
      <c r="K47" s="77"/>
      <c r="L47" s="81"/>
      <c r="M47" s="89"/>
      <c r="N47" s="83"/>
      <c r="O47" s="84"/>
      <c r="Q47" s="7">
        <f t="shared" si="5"/>
        <v>6</v>
      </c>
      <c r="R47" s="2" t="str">
        <f>IFERROR(VLOOKUP(D47,$D$9:D46,1,0),"")</f>
        <v/>
      </c>
    </row>
    <row r="48" spans="1:18" x14ac:dyDescent="0.3">
      <c r="A48" s="136"/>
      <c r="B48" s="24">
        <v>3</v>
      </c>
      <c r="C48" s="24">
        <v>2</v>
      </c>
      <c r="D48" s="31" t="s">
        <v>115</v>
      </c>
      <c r="E48" s="32" t="s">
        <v>116</v>
      </c>
      <c r="F48" s="24">
        <v>3</v>
      </c>
      <c r="G48" s="24">
        <v>30</v>
      </c>
      <c r="H48" s="24">
        <v>30</v>
      </c>
      <c r="I48" s="24"/>
      <c r="J48" s="24">
        <v>0</v>
      </c>
      <c r="K48" s="24" t="s">
        <v>11</v>
      </c>
      <c r="L48" s="27" t="s">
        <v>64</v>
      </c>
      <c r="M48" s="73" t="s">
        <v>12</v>
      </c>
      <c r="N48" s="29"/>
      <c r="O48" s="30"/>
      <c r="Q48" s="7">
        <f t="shared" si="5"/>
        <v>6</v>
      </c>
      <c r="R48" s="2" t="str">
        <f>IFERROR(VLOOKUP(D48,$D$9:D47,1,0),"")</f>
        <v/>
      </c>
    </row>
    <row r="49" spans="1:20" x14ac:dyDescent="0.3">
      <c r="A49" s="136"/>
      <c r="B49" s="77"/>
      <c r="C49" s="78" t="s">
        <v>209</v>
      </c>
      <c r="D49" s="78"/>
      <c r="E49" s="79"/>
      <c r="F49" s="80"/>
      <c r="G49" s="77"/>
      <c r="H49" s="77"/>
      <c r="I49" s="77"/>
      <c r="J49" s="77"/>
      <c r="K49" s="77"/>
      <c r="L49" s="81"/>
      <c r="M49" s="89"/>
      <c r="N49" s="83"/>
      <c r="O49" s="84"/>
      <c r="Q49" s="7">
        <f t="shared" si="5"/>
        <v>6</v>
      </c>
      <c r="R49" s="2" t="str">
        <f>IFERROR(VLOOKUP(D49,$D$9:D48,1,0),"")</f>
        <v/>
      </c>
    </row>
    <row r="50" spans="1:20" ht="23.1" customHeight="1" x14ac:dyDescent="0.3">
      <c r="A50" s="136"/>
      <c r="B50" s="24">
        <v>3</v>
      </c>
      <c r="C50" s="24">
        <v>2</v>
      </c>
      <c r="D50" s="33" t="s">
        <v>130</v>
      </c>
      <c r="E50" s="32" t="s">
        <v>131</v>
      </c>
      <c r="F50" s="25">
        <v>3</v>
      </c>
      <c r="G50" s="25">
        <v>30</v>
      </c>
      <c r="H50" s="24">
        <v>30</v>
      </c>
      <c r="I50" s="24"/>
      <c r="J50" s="24">
        <v>0</v>
      </c>
      <c r="K50" s="24" t="s">
        <v>11</v>
      </c>
      <c r="L50" s="27" t="s">
        <v>12</v>
      </c>
      <c r="M50" s="73" t="s">
        <v>132</v>
      </c>
      <c r="N50" s="29"/>
      <c r="O50" s="30"/>
      <c r="Q50" s="7">
        <f t="shared" si="5"/>
        <v>6</v>
      </c>
      <c r="R50" s="2" t="str">
        <f>IFERROR(VLOOKUP(D50,$D$9:D49,1,0),"")</f>
        <v/>
      </c>
    </row>
    <row r="51" spans="1:20" x14ac:dyDescent="0.3">
      <c r="A51" s="136"/>
      <c r="B51" s="77"/>
      <c r="C51" s="78" t="s">
        <v>210</v>
      </c>
      <c r="D51" s="78"/>
      <c r="E51" s="79"/>
      <c r="F51" s="80"/>
      <c r="G51" s="77"/>
      <c r="H51" s="77"/>
      <c r="I51" s="77"/>
      <c r="J51" s="77"/>
      <c r="K51" s="77"/>
      <c r="L51" s="81"/>
      <c r="M51" s="89"/>
      <c r="N51" s="83"/>
      <c r="O51" s="84"/>
      <c r="Q51" s="7">
        <f t="shared" si="5"/>
        <v>6</v>
      </c>
      <c r="R51" s="2" t="str">
        <f>IFERROR(VLOOKUP(D51,$D$9:D50,1,0),"")</f>
        <v/>
      </c>
    </row>
    <row r="52" spans="1:20" x14ac:dyDescent="0.3">
      <c r="A52" s="136"/>
      <c r="B52" s="24">
        <v>3</v>
      </c>
      <c r="C52" s="24">
        <v>2</v>
      </c>
      <c r="D52" s="25" t="s">
        <v>92</v>
      </c>
      <c r="E52" s="32" t="s">
        <v>93</v>
      </c>
      <c r="F52" s="25">
        <v>3</v>
      </c>
      <c r="G52" s="25">
        <v>30</v>
      </c>
      <c r="H52" s="25">
        <v>30</v>
      </c>
      <c r="I52" s="25"/>
      <c r="J52" s="25">
        <v>0</v>
      </c>
      <c r="K52" s="25" t="s">
        <v>85</v>
      </c>
      <c r="L52" s="33" t="s">
        <v>12</v>
      </c>
      <c r="M52" s="50" t="s">
        <v>12</v>
      </c>
      <c r="N52" s="29"/>
      <c r="O52" s="30"/>
      <c r="Q52" s="7">
        <f t="shared" si="5"/>
        <v>6</v>
      </c>
      <c r="R52" s="2" t="str">
        <f>IFERROR(VLOOKUP(D52,$D$9:D51,1,0),"")</f>
        <v/>
      </c>
    </row>
    <row r="53" spans="1:20" x14ac:dyDescent="0.3">
      <c r="A53" s="136"/>
      <c r="B53" s="24">
        <v>3</v>
      </c>
      <c r="C53" s="24">
        <v>2</v>
      </c>
      <c r="D53" s="25" t="s">
        <v>98</v>
      </c>
      <c r="E53" s="32" t="s">
        <v>99</v>
      </c>
      <c r="F53" s="25">
        <v>3</v>
      </c>
      <c r="G53" s="25">
        <v>30</v>
      </c>
      <c r="H53" s="25">
        <v>30</v>
      </c>
      <c r="I53" s="25"/>
      <c r="J53" s="25">
        <v>0</v>
      </c>
      <c r="K53" s="25" t="s">
        <v>85</v>
      </c>
      <c r="L53" s="33" t="s">
        <v>12</v>
      </c>
      <c r="M53" s="50" t="s">
        <v>12</v>
      </c>
      <c r="N53" s="29"/>
      <c r="O53" s="30"/>
      <c r="Q53" s="7">
        <f t="shared" si="5"/>
        <v>6</v>
      </c>
      <c r="R53" s="2" t="str">
        <f>IFERROR(VLOOKUP(D53,$D$9:D52,1,0),"")</f>
        <v/>
      </c>
    </row>
    <row r="54" spans="1:20" x14ac:dyDescent="0.3">
      <c r="A54" s="136"/>
      <c r="B54" s="24">
        <v>3</v>
      </c>
      <c r="C54" s="24">
        <v>2</v>
      </c>
      <c r="D54" s="25" t="s">
        <v>83</v>
      </c>
      <c r="E54" s="32" t="s">
        <v>84</v>
      </c>
      <c r="F54" s="25">
        <v>3</v>
      </c>
      <c r="G54" s="25">
        <v>30</v>
      </c>
      <c r="H54" s="25">
        <v>30</v>
      </c>
      <c r="I54" s="25"/>
      <c r="J54" s="25">
        <v>0</v>
      </c>
      <c r="K54" s="25" t="s">
        <v>85</v>
      </c>
      <c r="L54" s="33" t="s">
        <v>64</v>
      </c>
      <c r="M54" s="50" t="s">
        <v>12</v>
      </c>
      <c r="N54" s="29"/>
      <c r="O54" s="30"/>
      <c r="Q54" s="7">
        <f t="shared" si="5"/>
        <v>6</v>
      </c>
      <c r="R54" s="2" t="str">
        <f>IFERROR(VLOOKUP(D54,$D$9:D53,1,0),"")</f>
        <v/>
      </c>
    </row>
    <row r="55" spans="1:20" x14ac:dyDescent="0.3">
      <c r="A55" s="136"/>
      <c r="B55" s="77"/>
      <c r="C55" s="78" t="s">
        <v>211</v>
      </c>
      <c r="D55" s="78"/>
      <c r="E55" s="79"/>
      <c r="F55" s="80"/>
      <c r="G55" s="77"/>
      <c r="H55" s="77"/>
      <c r="I55" s="77"/>
      <c r="J55" s="77"/>
      <c r="K55" s="77"/>
      <c r="L55" s="81"/>
      <c r="M55" s="89"/>
      <c r="N55" s="90"/>
      <c r="O55" s="91"/>
      <c r="P55" s="92"/>
      <c r="Q55" s="7">
        <f t="shared" si="5"/>
        <v>6</v>
      </c>
      <c r="R55" s="2" t="str">
        <f>IFERROR(VLOOKUP(D55,$D$9:D54,1,0),"")</f>
        <v/>
      </c>
      <c r="S55" s="92"/>
      <c r="T55" s="92"/>
    </row>
    <row r="56" spans="1:20" x14ac:dyDescent="0.3">
      <c r="A56" s="136"/>
      <c r="B56" s="24">
        <v>3</v>
      </c>
      <c r="C56" s="24">
        <v>2</v>
      </c>
      <c r="D56" s="31" t="s">
        <v>148</v>
      </c>
      <c r="E56" s="32" t="s">
        <v>149</v>
      </c>
      <c r="F56" s="25">
        <v>3</v>
      </c>
      <c r="G56" s="25">
        <v>30</v>
      </c>
      <c r="H56" s="25">
        <v>30</v>
      </c>
      <c r="I56" s="25"/>
      <c r="J56" s="25">
        <v>0</v>
      </c>
      <c r="K56" s="25" t="s">
        <v>147</v>
      </c>
      <c r="L56" s="33" t="s">
        <v>12</v>
      </c>
      <c r="M56" s="50" t="s">
        <v>69</v>
      </c>
      <c r="N56" s="29"/>
      <c r="O56" s="30"/>
      <c r="Q56" s="7">
        <f t="shared" si="5"/>
        <v>6</v>
      </c>
      <c r="R56" s="2" t="str">
        <f>IFERROR(VLOOKUP(D56,$D$9:D55,1,0),"")</f>
        <v/>
      </c>
    </row>
    <row r="57" spans="1:20" ht="17.399999999999999" thickBot="1" x14ac:dyDescent="0.35">
      <c r="A57" s="137"/>
      <c r="B57" s="35">
        <v>3</v>
      </c>
      <c r="C57" s="35">
        <v>2</v>
      </c>
      <c r="D57" s="36" t="s">
        <v>145</v>
      </c>
      <c r="E57" s="37" t="s">
        <v>146</v>
      </c>
      <c r="F57" s="35">
        <v>3</v>
      </c>
      <c r="G57" s="35">
        <v>30</v>
      </c>
      <c r="H57" s="35">
        <v>30</v>
      </c>
      <c r="I57" s="35"/>
      <c r="J57" s="35">
        <v>0</v>
      </c>
      <c r="K57" s="38" t="s">
        <v>147</v>
      </c>
      <c r="L57" s="39" t="s">
        <v>12</v>
      </c>
      <c r="M57" s="93" t="s">
        <v>129</v>
      </c>
      <c r="N57" s="94"/>
      <c r="O57" s="42"/>
      <c r="Q57" s="7">
        <f t="shared" si="5"/>
        <v>6</v>
      </c>
      <c r="R57" s="2" t="str">
        <f>IFERROR(VLOOKUP(D57,$D$9:D56,1,0),"")</f>
        <v/>
      </c>
    </row>
    <row r="58" spans="1:20" ht="24.6" x14ac:dyDescent="0.4">
      <c r="A58" s="95"/>
      <c r="B58" s="17">
        <v>1</v>
      </c>
      <c r="C58" s="17">
        <v>3</v>
      </c>
      <c r="D58" s="18"/>
      <c r="E58" s="59" t="s">
        <v>212</v>
      </c>
      <c r="F58" s="60"/>
      <c r="G58" s="60"/>
      <c r="H58" s="60"/>
      <c r="I58" s="60"/>
      <c r="J58" s="60"/>
      <c r="K58" s="60"/>
      <c r="L58" s="61"/>
      <c r="M58" s="96"/>
      <c r="N58" s="22">
        <f>SUM(F58:F60)+6+3</f>
        <v>14</v>
      </c>
      <c r="O58" s="23"/>
      <c r="P58" s="2">
        <f>P43+N58</f>
        <v>94</v>
      </c>
      <c r="Q58" s="7">
        <v>7</v>
      </c>
      <c r="R58" s="2" t="str">
        <f>IFERROR(VLOOKUP(D58,$D$9:D56,1,0),"")</f>
        <v/>
      </c>
    </row>
    <row r="59" spans="1:20" ht="27.6" x14ac:dyDescent="0.4">
      <c r="A59" s="143" t="s">
        <v>213</v>
      </c>
      <c r="B59" s="24">
        <v>1</v>
      </c>
      <c r="C59" s="24">
        <v>3</v>
      </c>
      <c r="D59" s="31" t="s">
        <v>52</v>
      </c>
      <c r="E59" s="32" t="s">
        <v>53</v>
      </c>
      <c r="F59" s="25">
        <v>3</v>
      </c>
      <c r="G59" s="25">
        <v>45</v>
      </c>
      <c r="H59" s="25">
        <v>0</v>
      </c>
      <c r="I59" s="25"/>
      <c r="J59" s="25">
        <v>0</v>
      </c>
      <c r="K59" s="25" t="s">
        <v>11</v>
      </c>
      <c r="L59" s="33" t="s">
        <v>54</v>
      </c>
      <c r="M59" s="50" t="s">
        <v>13</v>
      </c>
      <c r="N59" s="97"/>
      <c r="O59" s="30"/>
      <c r="Q59" s="7">
        <v>7</v>
      </c>
      <c r="R59" s="2" t="str">
        <f>IFERROR(VLOOKUP(D59,$D$9:D57,1,0),"")</f>
        <v/>
      </c>
    </row>
    <row r="60" spans="1:20" x14ac:dyDescent="0.3">
      <c r="A60" s="144"/>
      <c r="B60" s="24">
        <v>1</v>
      </c>
      <c r="C60" s="24">
        <v>3</v>
      </c>
      <c r="D60" s="31" t="s">
        <v>24</v>
      </c>
      <c r="E60" s="26" t="s">
        <v>25</v>
      </c>
      <c r="F60" s="24">
        <v>2</v>
      </c>
      <c r="G60" s="24">
        <v>30</v>
      </c>
      <c r="H60" s="24">
        <v>0</v>
      </c>
      <c r="I60" s="24"/>
      <c r="J60" s="24">
        <v>0</v>
      </c>
      <c r="K60" s="24" t="s">
        <v>11</v>
      </c>
      <c r="L60" s="27" t="s">
        <v>12</v>
      </c>
      <c r="M60" s="73" t="s">
        <v>26</v>
      </c>
      <c r="N60" s="29"/>
      <c r="O60" s="30"/>
      <c r="Q60" s="7">
        <f t="shared" ref="Q60:Q75" si="6">Q59</f>
        <v>7</v>
      </c>
      <c r="R60" s="2" t="str">
        <f>IFERROR(VLOOKUP(D60,$D$9:D59,1,0),"")</f>
        <v/>
      </c>
    </row>
    <row r="61" spans="1:20" x14ac:dyDescent="0.3">
      <c r="A61" s="144"/>
      <c r="B61" s="24">
        <v>1</v>
      </c>
      <c r="C61" s="24">
        <v>3</v>
      </c>
      <c r="D61" s="31"/>
      <c r="E61" s="26"/>
      <c r="F61" s="24"/>
      <c r="G61" s="24"/>
      <c r="H61" s="24"/>
      <c r="I61" s="24"/>
      <c r="J61" s="24"/>
      <c r="K61" s="24"/>
      <c r="L61" s="27"/>
      <c r="M61" s="73"/>
      <c r="N61" s="29"/>
      <c r="O61" s="30"/>
      <c r="Q61" s="7">
        <f t="shared" si="6"/>
        <v>7</v>
      </c>
      <c r="R61" s="2" t="str">
        <f>IFERROR(VLOOKUP(D61,$D$9:D60,1,0),"")</f>
        <v/>
      </c>
    </row>
    <row r="62" spans="1:20" x14ac:dyDescent="0.3">
      <c r="A62" s="144"/>
      <c r="B62" s="77"/>
      <c r="C62" s="78" t="s">
        <v>207</v>
      </c>
      <c r="D62" s="78"/>
      <c r="E62" s="79"/>
      <c r="F62" s="77"/>
      <c r="G62" s="77"/>
      <c r="H62" s="77"/>
      <c r="I62" s="77"/>
      <c r="J62" s="77"/>
      <c r="K62" s="77"/>
      <c r="L62" s="81"/>
      <c r="M62" s="89"/>
      <c r="N62" s="83"/>
      <c r="O62" s="84"/>
      <c r="Q62" s="7">
        <f t="shared" si="6"/>
        <v>7</v>
      </c>
      <c r="R62" s="2" t="str">
        <f>IFERROR(VLOOKUP(D62,$D$9:D61,1,0),"")</f>
        <v/>
      </c>
    </row>
    <row r="63" spans="1:20" ht="21" customHeight="1" x14ac:dyDescent="0.3">
      <c r="A63" s="144"/>
      <c r="B63" s="24">
        <v>1</v>
      </c>
      <c r="C63" s="24">
        <v>3</v>
      </c>
      <c r="D63" s="31" t="s">
        <v>102</v>
      </c>
      <c r="E63" s="32" t="s">
        <v>103</v>
      </c>
      <c r="F63" s="25">
        <v>3</v>
      </c>
      <c r="G63" s="25">
        <v>30</v>
      </c>
      <c r="H63" s="25">
        <v>30</v>
      </c>
      <c r="I63" s="25"/>
      <c r="J63" s="25">
        <v>0</v>
      </c>
      <c r="K63" s="25" t="s">
        <v>11</v>
      </c>
      <c r="L63" s="33" t="s">
        <v>64</v>
      </c>
      <c r="M63" s="50" t="s">
        <v>104</v>
      </c>
      <c r="N63" s="29"/>
      <c r="O63" s="30"/>
      <c r="Q63" s="7">
        <f t="shared" si="6"/>
        <v>7</v>
      </c>
      <c r="R63" s="2" t="str">
        <f>IFERROR(VLOOKUP(D63,$D$9:D62,1,0),"")</f>
        <v/>
      </c>
    </row>
    <row r="64" spans="1:20" ht="21" customHeight="1" x14ac:dyDescent="0.3">
      <c r="A64" s="144"/>
      <c r="B64" s="24">
        <v>1</v>
      </c>
      <c r="C64" s="24">
        <v>3</v>
      </c>
      <c r="D64" s="31" t="s">
        <v>105</v>
      </c>
      <c r="E64" s="32" t="s">
        <v>106</v>
      </c>
      <c r="F64" s="25">
        <v>3</v>
      </c>
      <c r="G64" s="25">
        <v>30</v>
      </c>
      <c r="H64" s="25">
        <v>30</v>
      </c>
      <c r="I64" s="25"/>
      <c r="J64" s="25">
        <v>0</v>
      </c>
      <c r="K64" s="25" t="s">
        <v>11</v>
      </c>
      <c r="L64" s="33" t="s">
        <v>64</v>
      </c>
      <c r="M64" s="50" t="s">
        <v>104</v>
      </c>
      <c r="N64" s="29"/>
      <c r="O64" s="30"/>
      <c r="Q64" s="7">
        <f t="shared" si="6"/>
        <v>7</v>
      </c>
      <c r="R64" s="2" t="str">
        <f>IFERROR(VLOOKUP(D64,$D$9:D63,1,0),"")</f>
        <v/>
      </c>
    </row>
    <row r="65" spans="1:18" x14ac:dyDescent="0.3">
      <c r="A65" s="144"/>
      <c r="B65" s="98"/>
      <c r="C65" s="99" t="s">
        <v>208</v>
      </c>
      <c r="D65" s="99"/>
      <c r="E65" s="100"/>
      <c r="F65" s="98"/>
      <c r="G65" s="98"/>
      <c r="H65" s="98"/>
      <c r="I65" s="98"/>
      <c r="J65" s="98"/>
      <c r="K65" s="98"/>
      <c r="L65" s="101"/>
      <c r="M65" s="102"/>
      <c r="N65" s="83"/>
      <c r="O65" s="84"/>
      <c r="Q65" s="7">
        <f t="shared" si="6"/>
        <v>7</v>
      </c>
      <c r="R65" s="2" t="str">
        <f>IFERROR(VLOOKUP(D65,$D$9:D64,1,0),"")</f>
        <v/>
      </c>
    </row>
    <row r="66" spans="1:18" ht="21.6" customHeight="1" x14ac:dyDescent="0.3">
      <c r="A66" s="144"/>
      <c r="B66" s="24">
        <v>1</v>
      </c>
      <c r="C66" s="24">
        <v>3</v>
      </c>
      <c r="D66" s="31" t="s">
        <v>117</v>
      </c>
      <c r="E66" s="32" t="s">
        <v>118</v>
      </c>
      <c r="F66" s="25">
        <v>3</v>
      </c>
      <c r="G66" s="25">
        <v>30</v>
      </c>
      <c r="H66" s="25">
        <v>30</v>
      </c>
      <c r="I66" s="25"/>
      <c r="J66" s="25">
        <v>0</v>
      </c>
      <c r="K66" s="25" t="s">
        <v>11</v>
      </c>
      <c r="L66" s="33" t="s">
        <v>64</v>
      </c>
      <c r="M66" s="50" t="s">
        <v>119</v>
      </c>
      <c r="N66" s="29"/>
      <c r="O66" s="30"/>
      <c r="Q66" s="7">
        <f t="shared" si="6"/>
        <v>7</v>
      </c>
      <c r="R66" s="2" t="str">
        <f>IFERROR(VLOOKUP(D66,$D$9:D65,1,0),"")</f>
        <v/>
      </c>
    </row>
    <row r="67" spans="1:18" ht="21.6" customHeight="1" x14ac:dyDescent="0.3">
      <c r="A67" s="144"/>
      <c r="B67" s="24">
        <v>1</v>
      </c>
      <c r="C67" s="24">
        <v>3</v>
      </c>
      <c r="D67" s="31" t="s">
        <v>120</v>
      </c>
      <c r="E67" s="32" t="s">
        <v>121</v>
      </c>
      <c r="F67" s="25">
        <v>3</v>
      </c>
      <c r="G67" s="25">
        <v>30</v>
      </c>
      <c r="H67" s="25">
        <v>30</v>
      </c>
      <c r="I67" s="25"/>
      <c r="J67" s="25">
        <v>0</v>
      </c>
      <c r="K67" s="25" t="s">
        <v>11</v>
      </c>
      <c r="L67" s="33" t="s">
        <v>64</v>
      </c>
      <c r="M67" s="50" t="s">
        <v>12</v>
      </c>
      <c r="N67" s="29"/>
      <c r="O67" s="30"/>
      <c r="Q67" s="7">
        <f t="shared" si="6"/>
        <v>7</v>
      </c>
      <c r="R67" s="2" t="str">
        <f>IFERROR(VLOOKUP(D67,$D$9:D66,1,0),"")</f>
        <v/>
      </c>
    </row>
    <row r="68" spans="1:18" x14ac:dyDescent="0.3">
      <c r="A68" s="144"/>
      <c r="B68" s="77"/>
      <c r="C68" s="78" t="s">
        <v>209</v>
      </c>
      <c r="D68" s="78"/>
      <c r="E68" s="79"/>
      <c r="F68" s="80"/>
      <c r="G68" s="77"/>
      <c r="H68" s="77"/>
      <c r="I68" s="77"/>
      <c r="J68" s="77"/>
      <c r="K68" s="77"/>
      <c r="L68" s="81"/>
      <c r="M68" s="89"/>
      <c r="N68" s="83"/>
      <c r="O68" s="84"/>
      <c r="Q68" s="7">
        <f t="shared" si="6"/>
        <v>7</v>
      </c>
      <c r="R68" s="2" t="str">
        <f>IFERROR(VLOOKUP(D68,$D$9:D67,1,0),"")</f>
        <v/>
      </c>
    </row>
    <row r="69" spans="1:18" x14ac:dyDescent="0.3">
      <c r="A69" s="144"/>
      <c r="B69" s="24">
        <v>1</v>
      </c>
      <c r="C69" s="24">
        <v>3</v>
      </c>
      <c r="D69" s="33" t="s">
        <v>133</v>
      </c>
      <c r="E69" s="32" t="s">
        <v>134</v>
      </c>
      <c r="F69" s="24">
        <v>3</v>
      </c>
      <c r="G69" s="24">
        <v>30</v>
      </c>
      <c r="H69" s="24">
        <v>30</v>
      </c>
      <c r="I69" s="24"/>
      <c r="J69" s="24">
        <v>0</v>
      </c>
      <c r="K69" s="24" t="s">
        <v>11</v>
      </c>
      <c r="L69" s="27" t="s">
        <v>64</v>
      </c>
      <c r="M69" s="73" t="s">
        <v>119</v>
      </c>
      <c r="N69" s="29"/>
      <c r="O69" s="30"/>
      <c r="Q69" s="7">
        <f t="shared" si="6"/>
        <v>7</v>
      </c>
      <c r="R69" s="2" t="str">
        <f>IFERROR(VLOOKUP(D69,$D$9:D68,1,0),"")</f>
        <v/>
      </c>
    </row>
    <row r="70" spans="1:18" x14ac:dyDescent="0.3">
      <c r="A70" s="144"/>
      <c r="B70" s="24">
        <v>1</v>
      </c>
      <c r="C70" s="24">
        <v>3</v>
      </c>
      <c r="D70" s="33" t="s">
        <v>135</v>
      </c>
      <c r="E70" s="32" t="s">
        <v>136</v>
      </c>
      <c r="F70" s="24">
        <v>3</v>
      </c>
      <c r="G70" s="24">
        <v>30</v>
      </c>
      <c r="H70" s="24">
        <v>30</v>
      </c>
      <c r="I70" s="24"/>
      <c r="J70" s="24">
        <v>0</v>
      </c>
      <c r="K70" s="24" t="s">
        <v>11</v>
      </c>
      <c r="L70" s="27" t="s">
        <v>12</v>
      </c>
      <c r="M70" s="73" t="s">
        <v>119</v>
      </c>
      <c r="N70" s="29"/>
      <c r="O70" s="30"/>
      <c r="Q70" s="7">
        <f t="shared" si="6"/>
        <v>7</v>
      </c>
      <c r="R70" s="2" t="str">
        <f>IFERROR(VLOOKUP(D70,$D$9:D69,1,0),"")</f>
        <v/>
      </c>
    </row>
    <row r="71" spans="1:18" x14ac:dyDescent="0.3">
      <c r="A71" s="144"/>
      <c r="B71" s="77"/>
      <c r="C71" s="99" t="s">
        <v>205</v>
      </c>
      <c r="D71" s="99"/>
      <c r="E71" s="100"/>
      <c r="F71" s="80"/>
      <c r="G71" s="77"/>
      <c r="H71" s="77"/>
      <c r="I71" s="77"/>
      <c r="J71" s="77"/>
      <c r="K71" s="77"/>
      <c r="L71" s="81"/>
      <c r="M71" s="89"/>
      <c r="N71" s="83"/>
      <c r="O71" s="84"/>
      <c r="Q71" s="7">
        <f t="shared" si="6"/>
        <v>7</v>
      </c>
      <c r="R71" s="2" t="str">
        <f>IFERROR(VLOOKUP(D71,$D$9:D70,1,0),"")</f>
        <v/>
      </c>
    </row>
    <row r="72" spans="1:18" x14ac:dyDescent="0.3">
      <c r="A72" s="144"/>
      <c r="B72" s="24">
        <v>1</v>
      </c>
      <c r="C72" s="24">
        <v>3</v>
      </c>
      <c r="D72" s="31" t="s">
        <v>150</v>
      </c>
      <c r="E72" s="32" t="s">
        <v>151</v>
      </c>
      <c r="F72" s="24">
        <v>3</v>
      </c>
      <c r="G72" s="24">
        <v>30</v>
      </c>
      <c r="H72" s="24">
        <v>30</v>
      </c>
      <c r="I72" s="24"/>
      <c r="J72" s="24">
        <v>0</v>
      </c>
      <c r="K72" s="24" t="s">
        <v>147</v>
      </c>
      <c r="L72" s="27" t="s">
        <v>12</v>
      </c>
      <c r="M72" s="73" t="s">
        <v>152</v>
      </c>
      <c r="N72" s="29"/>
      <c r="O72" s="30"/>
      <c r="Q72" s="7">
        <f t="shared" si="6"/>
        <v>7</v>
      </c>
      <c r="R72" s="2" t="str">
        <f>IFERROR(VLOOKUP(D72,$D$9:D71,1,0),"")</f>
        <v/>
      </c>
    </row>
    <row r="73" spans="1:18" x14ac:dyDescent="0.3">
      <c r="A73" s="144"/>
      <c r="B73" s="24">
        <v>1</v>
      </c>
      <c r="C73" s="24">
        <v>3</v>
      </c>
      <c r="D73" s="31" t="s">
        <v>157</v>
      </c>
      <c r="E73" s="32" t="s">
        <v>158</v>
      </c>
      <c r="F73" s="25">
        <v>3</v>
      </c>
      <c r="G73" s="25">
        <v>30</v>
      </c>
      <c r="H73" s="25">
        <v>30</v>
      </c>
      <c r="I73" s="25"/>
      <c r="J73" s="25">
        <v>0</v>
      </c>
      <c r="K73" s="25" t="s">
        <v>147</v>
      </c>
      <c r="L73" s="33" t="s">
        <v>12</v>
      </c>
      <c r="M73" s="73" t="s">
        <v>12</v>
      </c>
      <c r="N73" s="29"/>
      <c r="O73" s="30"/>
      <c r="Q73" s="7">
        <f t="shared" si="6"/>
        <v>7</v>
      </c>
      <c r="R73" s="2" t="str">
        <f>IFERROR(VLOOKUP(D73,$D$9:D72,1,0),"")</f>
        <v/>
      </c>
    </row>
    <row r="74" spans="1:18" ht="27.6" x14ac:dyDescent="0.3">
      <c r="A74" s="144"/>
      <c r="B74" s="24">
        <v>1</v>
      </c>
      <c r="C74" s="24">
        <v>3</v>
      </c>
      <c r="D74" s="31" t="s">
        <v>155</v>
      </c>
      <c r="E74" s="32" t="s">
        <v>156</v>
      </c>
      <c r="F74" s="25">
        <v>3</v>
      </c>
      <c r="G74" s="25">
        <v>30</v>
      </c>
      <c r="H74" s="25">
        <v>30</v>
      </c>
      <c r="I74" s="25"/>
      <c r="J74" s="25">
        <v>0</v>
      </c>
      <c r="K74" s="25" t="s">
        <v>147</v>
      </c>
      <c r="L74" s="33" t="s">
        <v>12</v>
      </c>
      <c r="M74" s="73" t="s">
        <v>13</v>
      </c>
      <c r="N74" s="29"/>
      <c r="O74" s="30"/>
      <c r="Q74" s="7">
        <f t="shared" si="6"/>
        <v>7</v>
      </c>
      <c r="R74" s="2" t="str">
        <f>IFERROR(VLOOKUP(D74,$D$9:D73,1,0),"")</f>
        <v/>
      </c>
    </row>
    <row r="75" spans="1:18" ht="17.399999999999999" thickBot="1" x14ac:dyDescent="0.35">
      <c r="A75" s="145"/>
      <c r="B75" s="35">
        <v>1</v>
      </c>
      <c r="C75" s="35">
        <v>3</v>
      </c>
      <c r="D75" s="103" t="s">
        <v>153</v>
      </c>
      <c r="E75" s="104" t="s">
        <v>154</v>
      </c>
      <c r="F75" s="35">
        <v>3</v>
      </c>
      <c r="G75" s="35">
        <v>30</v>
      </c>
      <c r="H75" s="35">
        <v>30</v>
      </c>
      <c r="I75" s="35"/>
      <c r="J75" s="35">
        <v>0</v>
      </c>
      <c r="K75" s="35" t="s">
        <v>147</v>
      </c>
      <c r="L75" s="105" t="s">
        <v>12</v>
      </c>
      <c r="M75" s="93" t="s">
        <v>12</v>
      </c>
      <c r="N75" s="41"/>
      <c r="O75" s="69"/>
      <c r="Q75" s="7">
        <f t="shared" si="6"/>
        <v>7</v>
      </c>
      <c r="R75" s="2" t="str">
        <f>IFERROR(VLOOKUP(D75,$D$9:D74,1,0),"")</f>
        <v/>
      </c>
    </row>
    <row r="76" spans="1:18" ht="8.25" customHeight="1" x14ac:dyDescent="0.4">
      <c r="A76" s="135" t="s">
        <v>214</v>
      </c>
      <c r="B76" s="17"/>
      <c r="C76" s="17"/>
      <c r="D76" s="106"/>
      <c r="E76" s="107"/>
      <c r="F76" s="17"/>
      <c r="G76" s="17"/>
      <c r="H76" s="17"/>
      <c r="I76" s="17"/>
      <c r="J76" s="17"/>
      <c r="K76" s="17"/>
      <c r="L76" s="20"/>
      <c r="M76" s="87"/>
      <c r="N76" s="88"/>
      <c r="O76" s="71"/>
      <c r="Q76" s="7">
        <v>8</v>
      </c>
      <c r="R76" s="2" t="str">
        <f>IFERROR(VLOOKUP(D76,$D$9:D75,1,0),"")</f>
        <v/>
      </c>
    </row>
    <row r="77" spans="1:18" ht="17.399999999999999" x14ac:dyDescent="0.3">
      <c r="A77" s="140"/>
      <c r="B77" s="24">
        <v>2</v>
      </c>
      <c r="C77" s="24">
        <v>3</v>
      </c>
      <c r="D77" s="31" t="s">
        <v>27</v>
      </c>
      <c r="E77" s="26" t="s">
        <v>28</v>
      </c>
      <c r="F77" s="24">
        <v>2</v>
      </c>
      <c r="G77" s="24">
        <v>30</v>
      </c>
      <c r="H77" s="24">
        <v>0</v>
      </c>
      <c r="I77" s="24"/>
      <c r="J77" s="24">
        <v>0</v>
      </c>
      <c r="K77" s="24" t="s">
        <v>11</v>
      </c>
      <c r="L77" s="27" t="s">
        <v>12</v>
      </c>
      <c r="M77" s="28" t="s">
        <v>26</v>
      </c>
      <c r="N77" s="108">
        <f>SUM(F77:F78) +9+3</f>
        <v>14</v>
      </c>
      <c r="O77" s="30"/>
      <c r="P77" s="2">
        <f>P58+N77</f>
        <v>108</v>
      </c>
      <c r="Q77" s="7">
        <v>8</v>
      </c>
      <c r="R77" s="2" t="str">
        <f>IFERROR(VLOOKUP(D77,$D$9:D76,1,0),"")</f>
        <v/>
      </c>
    </row>
    <row r="78" spans="1:18" x14ac:dyDescent="0.3">
      <c r="A78" s="136"/>
      <c r="B78" s="77"/>
      <c r="C78" s="78" t="s">
        <v>207</v>
      </c>
      <c r="D78" s="78"/>
      <c r="E78" s="79"/>
      <c r="F78" s="77"/>
      <c r="G78" s="77"/>
      <c r="H78" s="77"/>
      <c r="I78" s="77"/>
      <c r="J78" s="77"/>
      <c r="K78" s="77"/>
      <c r="L78" s="81"/>
      <c r="M78" s="89"/>
      <c r="N78" s="83"/>
      <c r="O78" s="84"/>
      <c r="Q78" s="7">
        <f t="shared" ref="Q78:Q94" si="7">Q77</f>
        <v>8</v>
      </c>
      <c r="R78" s="2" t="str">
        <f>IFERROR(VLOOKUP(D78,$D$9:D77,1,0),"")</f>
        <v/>
      </c>
    </row>
    <row r="79" spans="1:18" ht="23.1" customHeight="1" x14ac:dyDescent="0.3">
      <c r="A79" s="136"/>
      <c r="B79" s="24">
        <v>2</v>
      </c>
      <c r="C79" s="24">
        <v>3</v>
      </c>
      <c r="D79" s="31" t="s">
        <v>110</v>
      </c>
      <c r="E79" s="32" t="s">
        <v>111</v>
      </c>
      <c r="F79" s="25">
        <v>3</v>
      </c>
      <c r="G79" s="25">
        <v>30</v>
      </c>
      <c r="H79" s="25">
        <v>30</v>
      </c>
      <c r="I79" s="25"/>
      <c r="J79" s="25">
        <v>0</v>
      </c>
      <c r="K79" s="25" t="s">
        <v>11</v>
      </c>
      <c r="L79" s="33" t="s">
        <v>64</v>
      </c>
      <c r="M79" s="50" t="s">
        <v>112</v>
      </c>
      <c r="N79" s="29"/>
      <c r="O79" s="30"/>
      <c r="Q79" s="7">
        <f t="shared" si="7"/>
        <v>8</v>
      </c>
      <c r="R79" s="2" t="str">
        <f>IFERROR(VLOOKUP(D79,$D$9:D78,1,0),"")</f>
        <v/>
      </c>
    </row>
    <row r="80" spans="1:18" ht="27.6" x14ac:dyDescent="0.3">
      <c r="A80" s="136"/>
      <c r="B80" s="24">
        <v>2</v>
      </c>
      <c r="C80" s="24">
        <v>3</v>
      </c>
      <c r="D80" s="31" t="s">
        <v>107</v>
      </c>
      <c r="E80" s="32" t="s">
        <v>108</v>
      </c>
      <c r="F80" s="25">
        <v>3</v>
      </c>
      <c r="G80" s="25">
        <v>30</v>
      </c>
      <c r="H80" s="25">
        <v>30</v>
      </c>
      <c r="I80" s="25"/>
      <c r="J80" s="25">
        <v>0</v>
      </c>
      <c r="K80" s="25" t="s">
        <v>11</v>
      </c>
      <c r="L80" s="33" t="s">
        <v>64</v>
      </c>
      <c r="M80" s="50" t="s">
        <v>109</v>
      </c>
      <c r="N80" s="29"/>
      <c r="O80" s="30"/>
      <c r="Q80" s="7">
        <f t="shared" si="7"/>
        <v>8</v>
      </c>
      <c r="R80" s="2" t="str">
        <f>IFERROR(VLOOKUP(D80,$D$9:D79,1,0),"")</f>
        <v/>
      </c>
    </row>
    <row r="81" spans="1:18" x14ac:dyDescent="0.3">
      <c r="A81" s="136"/>
      <c r="B81" s="24">
        <v>2</v>
      </c>
      <c r="C81" s="24">
        <v>3</v>
      </c>
      <c r="D81" s="31" t="s">
        <v>113</v>
      </c>
      <c r="E81" s="32" t="s">
        <v>114</v>
      </c>
      <c r="F81" s="25">
        <v>3</v>
      </c>
      <c r="G81" s="25">
        <v>30</v>
      </c>
      <c r="H81" s="25">
        <v>30</v>
      </c>
      <c r="I81" s="25"/>
      <c r="J81" s="25">
        <v>0</v>
      </c>
      <c r="K81" s="25" t="s">
        <v>11</v>
      </c>
      <c r="L81" s="33" t="s">
        <v>64</v>
      </c>
      <c r="M81" s="50" t="s">
        <v>104</v>
      </c>
      <c r="N81" s="29"/>
      <c r="O81" s="30"/>
      <c r="Q81" s="7">
        <f t="shared" si="7"/>
        <v>8</v>
      </c>
      <c r="R81" s="2" t="str">
        <f>IFERROR(VLOOKUP(D81,$D$9:D80,1,0),"")</f>
        <v/>
      </c>
    </row>
    <row r="82" spans="1:18" x14ac:dyDescent="0.3">
      <c r="A82" s="136"/>
      <c r="B82" s="77"/>
      <c r="C82" s="78" t="s">
        <v>208</v>
      </c>
      <c r="D82" s="78"/>
      <c r="E82" s="79"/>
      <c r="F82" s="80"/>
      <c r="G82" s="77"/>
      <c r="H82" s="77"/>
      <c r="I82" s="77"/>
      <c r="J82" s="77"/>
      <c r="K82" s="77"/>
      <c r="L82" s="81"/>
      <c r="M82" s="89"/>
      <c r="N82" s="83"/>
      <c r="O82" s="84"/>
      <c r="Q82" s="7">
        <f t="shared" si="7"/>
        <v>8</v>
      </c>
      <c r="R82" s="2" t="str">
        <f>IFERROR(VLOOKUP(D82,$D$9:D81,1,0),"")</f>
        <v/>
      </c>
    </row>
    <row r="83" spans="1:18" x14ac:dyDescent="0.3">
      <c r="A83" s="136"/>
      <c r="B83" s="24">
        <v>2</v>
      </c>
      <c r="C83" s="24">
        <v>3</v>
      </c>
      <c r="D83" s="31" t="s">
        <v>122</v>
      </c>
      <c r="E83" s="32" t="s">
        <v>123</v>
      </c>
      <c r="F83" s="25">
        <v>3</v>
      </c>
      <c r="G83" s="25">
        <v>30</v>
      </c>
      <c r="H83" s="25">
        <v>30</v>
      </c>
      <c r="I83" s="25"/>
      <c r="J83" s="25">
        <v>0</v>
      </c>
      <c r="K83" s="25" t="s">
        <v>11</v>
      </c>
      <c r="L83" s="33" t="s">
        <v>64</v>
      </c>
      <c r="M83" s="50" t="s">
        <v>12</v>
      </c>
      <c r="N83" s="29"/>
      <c r="O83" s="30"/>
      <c r="Q83" s="7">
        <f t="shared" si="7"/>
        <v>8</v>
      </c>
      <c r="R83" s="2" t="str">
        <f>IFERROR(VLOOKUP(D83,$D$9:D82,1,0),"")</f>
        <v/>
      </c>
    </row>
    <row r="84" spans="1:18" ht="27" customHeight="1" x14ac:dyDescent="0.3">
      <c r="A84" s="136"/>
      <c r="B84" s="24">
        <v>2</v>
      </c>
      <c r="C84" s="24">
        <v>3</v>
      </c>
      <c r="D84" s="31" t="s">
        <v>124</v>
      </c>
      <c r="E84" s="32" t="s">
        <v>125</v>
      </c>
      <c r="F84" s="24">
        <v>3</v>
      </c>
      <c r="G84" s="24">
        <v>30</v>
      </c>
      <c r="H84" s="24">
        <v>30</v>
      </c>
      <c r="I84" s="24"/>
      <c r="J84" s="24">
        <v>0</v>
      </c>
      <c r="K84" s="24" t="s">
        <v>11</v>
      </c>
      <c r="L84" s="27" t="s">
        <v>12</v>
      </c>
      <c r="M84" s="73" t="s">
        <v>126</v>
      </c>
      <c r="N84" s="29"/>
      <c r="O84" s="30"/>
      <c r="Q84" s="7">
        <f t="shared" si="7"/>
        <v>8</v>
      </c>
      <c r="R84" s="2" t="str">
        <f>IFERROR(VLOOKUP(D84,$D$9:D83,1,0),"")</f>
        <v/>
      </c>
    </row>
    <row r="85" spans="1:18" ht="27" customHeight="1" x14ac:dyDescent="0.3">
      <c r="A85" s="136"/>
      <c r="B85" s="24">
        <v>2</v>
      </c>
      <c r="C85" s="24">
        <v>3</v>
      </c>
      <c r="D85" s="31" t="s">
        <v>127</v>
      </c>
      <c r="E85" s="32" t="s">
        <v>128</v>
      </c>
      <c r="F85" s="24">
        <v>3</v>
      </c>
      <c r="G85" s="24">
        <v>30</v>
      </c>
      <c r="H85" s="24">
        <v>30</v>
      </c>
      <c r="I85" s="24"/>
      <c r="J85" s="24">
        <v>0</v>
      </c>
      <c r="K85" s="24" t="s">
        <v>11</v>
      </c>
      <c r="L85" s="27" t="s">
        <v>12</v>
      </c>
      <c r="M85" s="73" t="s">
        <v>129</v>
      </c>
      <c r="N85" s="29"/>
      <c r="O85" s="30"/>
      <c r="Q85" s="7">
        <f t="shared" si="7"/>
        <v>8</v>
      </c>
      <c r="R85" s="2" t="str">
        <f>IFERROR(VLOOKUP(D85,$D$9:D84,1,0),"")</f>
        <v/>
      </c>
    </row>
    <row r="86" spans="1:18" x14ac:dyDescent="0.3">
      <c r="A86" s="136"/>
      <c r="B86" s="77"/>
      <c r="C86" s="78" t="s">
        <v>209</v>
      </c>
      <c r="D86" s="78"/>
      <c r="E86" s="79"/>
      <c r="F86" s="80"/>
      <c r="G86" s="77"/>
      <c r="H86" s="77"/>
      <c r="I86" s="77"/>
      <c r="J86" s="77"/>
      <c r="K86" s="77"/>
      <c r="L86" s="81"/>
      <c r="M86" s="89"/>
      <c r="N86" s="83"/>
      <c r="O86" s="84"/>
      <c r="Q86" s="7">
        <f t="shared" si="7"/>
        <v>8</v>
      </c>
      <c r="R86" s="2" t="str">
        <f>IFERROR(VLOOKUP(D86,$D$9:D85,1,0),"")</f>
        <v/>
      </c>
    </row>
    <row r="87" spans="1:18" x14ac:dyDescent="0.3">
      <c r="A87" s="136"/>
      <c r="B87" s="24">
        <v>2</v>
      </c>
      <c r="C87" s="24">
        <v>3</v>
      </c>
      <c r="D87" s="31" t="s">
        <v>137</v>
      </c>
      <c r="E87" s="26" t="s">
        <v>138</v>
      </c>
      <c r="F87" s="24">
        <v>3</v>
      </c>
      <c r="G87" s="24">
        <v>30</v>
      </c>
      <c r="H87" s="24">
        <v>30</v>
      </c>
      <c r="I87" s="24"/>
      <c r="J87" s="24">
        <v>0</v>
      </c>
      <c r="K87" s="24" t="s">
        <v>11</v>
      </c>
      <c r="L87" s="27" t="s">
        <v>12</v>
      </c>
      <c r="M87" s="73" t="s">
        <v>139</v>
      </c>
      <c r="N87" s="29"/>
      <c r="O87" s="30"/>
      <c r="Q87" s="7">
        <f t="shared" si="7"/>
        <v>8</v>
      </c>
      <c r="R87" s="2" t="str">
        <f>IFERROR(VLOOKUP(D87,$D$9:D86,1,0),"")</f>
        <v/>
      </c>
    </row>
    <row r="88" spans="1:18" x14ac:dyDescent="0.3">
      <c r="A88" s="136"/>
      <c r="B88" s="24">
        <v>2</v>
      </c>
      <c r="C88" s="24">
        <v>3</v>
      </c>
      <c r="D88" s="33" t="s">
        <v>140</v>
      </c>
      <c r="E88" s="32" t="s">
        <v>141</v>
      </c>
      <c r="F88" s="25">
        <v>3</v>
      </c>
      <c r="G88" s="25">
        <v>30</v>
      </c>
      <c r="H88" s="24">
        <v>30</v>
      </c>
      <c r="I88" s="24"/>
      <c r="J88" s="24">
        <v>0</v>
      </c>
      <c r="K88" s="24" t="s">
        <v>11</v>
      </c>
      <c r="L88" s="27" t="s">
        <v>12</v>
      </c>
      <c r="M88" s="73" t="s">
        <v>142</v>
      </c>
      <c r="N88" s="29"/>
      <c r="O88" s="30"/>
      <c r="Q88" s="7">
        <f t="shared" si="7"/>
        <v>8</v>
      </c>
      <c r="R88" s="2" t="str">
        <f>IFERROR(VLOOKUP(D88,$D$9:D87,1,0),"")</f>
        <v/>
      </c>
    </row>
    <row r="89" spans="1:18" ht="27.6" x14ac:dyDescent="0.3">
      <c r="A89" s="136"/>
      <c r="B89" s="24">
        <v>2</v>
      </c>
      <c r="C89" s="24">
        <v>3</v>
      </c>
      <c r="D89" s="33" t="s">
        <v>143</v>
      </c>
      <c r="E89" s="32" t="s">
        <v>144</v>
      </c>
      <c r="F89" s="25">
        <v>3</v>
      </c>
      <c r="G89" s="25">
        <v>30</v>
      </c>
      <c r="H89" s="24">
        <v>30</v>
      </c>
      <c r="I89" s="24"/>
      <c r="J89" s="24">
        <v>0</v>
      </c>
      <c r="K89" s="24" t="s">
        <v>11</v>
      </c>
      <c r="L89" s="27" t="s">
        <v>12</v>
      </c>
      <c r="M89" s="73" t="s">
        <v>13</v>
      </c>
      <c r="N89" s="29"/>
      <c r="O89" s="30"/>
      <c r="Q89" s="7">
        <f t="shared" si="7"/>
        <v>8</v>
      </c>
      <c r="R89" s="2" t="str">
        <f>IFERROR(VLOOKUP(D89,$D$9:D88,1,0),"")</f>
        <v/>
      </c>
    </row>
    <row r="90" spans="1:18" x14ac:dyDescent="0.3">
      <c r="A90" s="136"/>
      <c r="B90" s="77"/>
      <c r="C90" s="78" t="s">
        <v>211</v>
      </c>
      <c r="D90" s="78"/>
      <c r="E90" s="79"/>
      <c r="F90" s="80"/>
      <c r="G90" s="77"/>
      <c r="H90" s="77"/>
      <c r="I90" s="77"/>
      <c r="J90" s="77"/>
      <c r="K90" s="77"/>
      <c r="L90" s="81"/>
      <c r="M90" s="89"/>
      <c r="N90" s="83"/>
      <c r="O90" s="84"/>
      <c r="Q90" s="7">
        <f t="shared" si="7"/>
        <v>8</v>
      </c>
      <c r="R90" s="2" t="str">
        <f>IFERROR(VLOOKUP(D90,$D$9:D89,1,0),"")</f>
        <v/>
      </c>
    </row>
    <row r="91" spans="1:18" x14ac:dyDescent="0.3">
      <c r="A91" s="136"/>
      <c r="B91" s="24">
        <v>2</v>
      </c>
      <c r="C91" s="24">
        <v>3</v>
      </c>
      <c r="D91" s="25" t="s">
        <v>165</v>
      </c>
      <c r="E91" s="32" t="s">
        <v>166</v>
      </c>
      <c r="F91" s="25">
        <v>3</v>
      </c>
      <c r="G91" s="25">
        <v>30</v>
      </c>
      <c r="H91" s="25">
        <v>30</v>
      </c>
      <c r="I91" s="25"/>
      <c r="J91" s="25">
        <v>0</v>
      </c>
      <c r="K91" s="25" t="s">
        <v>147</v>
      </c>
      <c r="L91" s="33" t="s">
        <v>12</v>
      </c>
      <c r="M91" s="50" t="s">
        <v>167</v>
      </c>
      <c r="N91" s="29"/>
      <c r="O91" s="30"/>
      <c r="Q91" s="7">
        <f t="shared" si="7"/>
        <v>8</v>
      </c>
      <c r="R91" s="2" t="str">
        <f>IFERROR(VLOOKUP(D91,$D$9:D90,1,0),"")</f>
        <v/>
      </c>
    </row>
    <row r="92" spans="1:18" x14ac:dyDescent="0.3">
      <c r="A92" s="136"/>
      <c r="B92" s="24">
        <v>2</v>
      </c>
      <c r="C92" s="24">
        <v>3</v>
      </c>
      <c r="D92" s="25" t="s">
        <v>168</v>
      </c>
      <c r="E92" s="32" t="s">
        <v>169</v>
      </c>
      <c r="F92" s="25">
        <v>3</v>
      </c>
      <c r="G92" s="25">
        <v>30</v>
      </c>
      <c r="H92" s="25">
        <v>30</v>
      </c>
      <c r="I92" s="25"/>
      <c r="J92" s="25">
        <v>0</v>
      </c>
      <c r="K92" s="25" t="s">
        <v>147</v>
      </c>
      <c r="L92" s="33" t="s">
        <v>12</v>
      </c>
      <c r="M92" s="50" t="s">
        <v>167</v>
      </c>
      <c r="N92" s="29"/>
      <c r="O92" s="30"/>
      <c r="Q92" s="7">
        <f t="shared" si="7"/>
        <v>8</v>
      </c>
      <c r="R92" s="2" t="str">
        <f>IFERROR(VLOOKUP(D92,$D$9:D91,1,0),"")</f>
        <v/>
      </c>
    </row>
    <row r="93" spans="1:18" x14ac:dyDescent="0.3">
      <c r="A93" s="136"/>
      <c r="B93" s="24">
        <v>2</v>
      </c>
      <c r="C93" s="24">
        <v>3</v>
      </c>
      <c r="D93" s="31" t="s">
        <v>159</v>
      </c>
      <c r="E93" s="26" t="s">
        <v>160</v>
      </c>
      <c r="F93" s="24">
        <v>3</v>
      </c>
      <c r="G93" s="24">
        <v>30</v>
      </c>
      <c r="H93" s="24">
        <v>30</v>
      </c>
      <c r="I93" s="24"/>
      <c r="J93" s="24">
        <v>0</v>
      </c>
      <c r="K93" s="24" t="s">
        <v>147</v>
      </c>
      <c r="L93" s="27" t="s">
        <v>12</v>
      </c>
      <c r="M93" s="73" t="s">
        <v>161</v>
      </c>
      <c r="N93" s="29"/>
      <c r="O93" s="30"/>
      <c r="Q93" s="7">
        <f t="shared" si="7"/>
        <v>8</v>
      </c>
      <c r="R93" s="2" t="str">
        <f>IFERROR(VLOOKUP(D93,$D$9:D92,1,0),"")</f>
        <v/>
      </c>
    </row>
    <row r="94" spans="1:18" ht="17.399999999999999" thickBot="1" x14ac:dyDescent="0.35">
      <c r="A94" s="136"/>
      <c r="B94" s="52">
        <v>2</v>
      </c>
      <c r="C94" s="52">
        <v>3</v>
      </c>
      <c r="D94" s="53" t="s">
        <v>162</v>
      </c>
      <c r="E94" s="54" t="s">
        <v>163</v>
      </c>
      <c r="F94" s="55">
        <v>3</v>
      </c>
      <c r="G94" s="55">
        <v>30</v>
      </c>
      <c r="H94" s="55">
        <v>30</v>
      </c>
      <c r="I94" s="55"/>
      <c r="J94" s="55">
        <v>0</v>
      </c>
      <c r="K94" s="55" t="s">
        <v>147</v>
      </c>
      <c r="L94" s="56" t="s">
        <v>12</v>
      </c>
      <c r="M94" s="57" t="s">
        <v>164</v>
      </c>
      <c r="N94" s="94"/>
      <c r="O94" s="42"/>
      <c r="Q94" s="7">
        <f t="shared" si="7"/>
        <v>8</v>
      </c>
      <c r="R94" s="2" t="str">
        <f>IFERROR(VLOOKUP(D94,$D$9:D93,1,0),"")</f>
        <v/>
      </c>
    </row>
    <row r="95" spans="1:18" ht="28.2" thickBot="1" x14ac:dyDescent="0.45">
      <c r="A95" s="135" t="s">
        <v>215</v>
      </c>
      <c r="B95" s="17">
        <v>3</v>
      </c>
      <c r="C95" s="17">
        <v>3</v>
      </c>
      <c r="D95" s="18" t="s">
        <v>32</v>
      </c>
      <c r="E95" s="19" t="s">
        <v>33</v>
      </c>
      <c r="F95" s="17">
        <v>2</v>
      </c>
      <c r="G95" s="17">
        <v>30</v>
      </c>
      <c r="H95" s="17">
        <v>0</v>
      </c>
      <c r="I95" s="17"/>
      <c r="J95" s="17">
        <v>0</v>
      </c>
      <c r="K95" s="17" t="s">
        <v>11</v>
      </c>
      <c r="L95" s="20" t="s">
        <v>12</v>
      </c>
      <c r="M95" s="87" t="s">
        <v>31</v>
      </c>
      <c r="N95" s="109">
        <f>SUM(F95:F98)</f>
        <v>10</v>
      </c>
      <c r="O95" s="23"/>
      <c r="P95" s="2">
        <f>P77+N95</f>
        <v>118</v>
      </c>
      <c r="Q95" s="7">
        <v>9</v>
      </c>
      <c r="R95" s="2" t="str">
        <f>IFERROR(VLOOKUP(D95,$D$9:D94,1,0),"")</f>
        <v/>
      </c>
    </row>
    <row r="96" spans="1:18" ht="27.6" x14ac:dyDescent="0.3">
      <c r="A96" s="140"/>
      <c r="B96" s="24">
        <v>3</v>
      </c>
      <c r="C96" s="24">
        <v>3</v>
      </c>
      <c r="D96" s="31" t="s">
        <v>29</v>
      </c>
      <c r="E96" s="26" t="s">
        <v>30</v>
      </c>
      <c r="F96" s="24">
        <v>2</v>
      </c>
      <c r="G96" s="24">
        <v>30</v>
      </c>
      <c r="H96" s="24">
        <v>0</v>
      </c>
      <c r="I96" s="24"/>
      <c r="J96" s="24">
        <v>0</v>
      </c>
      <c r="K96" s="24" t="s">
        <v>11</v>
      </c>
      <c r="L96" s="27" t="s">
        <v>12</v>
      </c>
      <c r="M96" s="73" t="s">
        <v>31</v>
      </c>
      <c r="N96" s="29"/>
      <c r="O96" s="30"/>
      <c r="Q96" s="7">
        <f t="shared" ref="Q96:Q97" si="8">Q95</f>
        <v>9</v>
      </c>
      <c r="R96" s="2" t="str">
        <f>IFERROR(VLOOKUP(D96,$D$9:D95,1,0),"")</f>
        <v/>
      </c>
    </row>
    <row r="97" spans="1:20" x14ac:dyDescent="0.3">
      <c r="A97" s="140"/>
      <c r="B97" s="24">
        <v>3</v>
      </c>
      <c r="C97" s="24">
        <v>3</v>
      </c>
      <c r="D97" s="31" t="s">
        <v>14</v>
      </c>
      <c r="E97" s="26" t="s">
        <v>15</v>
      </c>
      <c r="F97" s="24">
        <v>2</v>
      </c>
      <c r="G97" s="24">
        <v>30</v>
      </c>
      <c r="H97" s="24">
        <v>0</v>
      </c>
      <c r="I97" s="24"/>
      <c r="J97" s="24">
        <v>0</v>
      </c>
      <c r="K97" s="24" t="s">
        <v>11</v>
      </c>
      <c r="L97" s="27" t="s">
        <v>12</v>
      </c>
      <c r="M97" s="73" t="s">
        <v>13</v>
      </c>
      <c r="N97" s="29"/>
      <c r="O97" s="30"/>
      <c r="Q97" s="7">
        <f t="shared" si="8"/>
        <v>9</v>
      </c>
      <c r="R97" s="2" t="str">
        <f>IFERROR(VLOOKUP(D97,$D$9:D96,1,0),"")</f>
        <v/>
      </c>
    </row>
    <row r="98" spans="1:20" ht="34.5" customHeight="1" thickBot="1" x14ac:dyDescent="0.45">
      <c r="A98" s="141"/>
      <c r="B98" s="35">
        <v>3</v>
      </c>
      <c r="C98" s="35">
        <v>3</v>
      </c>
      <c r="D98" s="103" t="s">
        <v>170</v>
      </c>
      <c r="E98" s="104" t="s">
        <v>171</v>
      </c>
      <c r="F98" s="35">
        <v>4</v>
      </c>
      <c r="G98" s="35">
        <v>0</v>
      </c>
      <c r="H98" s="35">
        <v>0</v>
      </c>
      <c r="I98" s="35"/>
      <c r="J98" s="35">
        <v>0</v>
      </c>
      <c r="K98" s="35" t="s">
        <v>11</v>
      </c>
      <c r="L98" s="105" t="s">
        <v>216</v>
      </c>
      <c r="M98" s="93" t="s">
        <v>172</v>
      </c>
      <c r="N98" s="109"/>
      <c r="O98" s="69"/>
      <c r="Q98" s="7">
        <f>Q96</f>
        <v>9</v>
      </c>
      <c r="R98" s="2" t="str">
        <f>IFERROR(VLOOKUP(D98,$D$9:D96,1,0),"")</f>
        <v/>
      </c>
    </row>
    <row r="99" spans="1:20" ht="20.399999999999999" x14ac:dyDescent="0.35">
      <c r="A99" s="135" t="s">
        <v>217</v>
      </c>
      <c r="B99" s="17">
        <v>1</v>
      </c>
      <c r="C99" s="17">
        <v>4</v>
      </c>
      <c r="D99" s="18" t="s">
        <v>9</v>
      </c>
      <c r="E99" s="19" t="s">
        <v>10</v>
      </c>
      <c r="F99" s="17">
        <v>2</v>
      </c>
      <c r="G99" s="17">
        <v>30</v>
      </c>
      <c r="H99" s="17">
        <v>0</v>
      </c>
      <c r="I99" s="17"/>
      <c r="J99" s="17">
        <v>0</v>
      </c>
      <c r="K99" s="17" t="s">
        <v>11</v>
      </c>
      <c r="L99" s="20" t="s">
        <v>12</v>
      </c>
      <c r="M99" s="87" t="s">
        <v>13</v>
      </c>
      <c r="N99" s="110">
        <f>SUM(F99:F103)</f>
        <v>14</v>
      </c>
      <c r="O99" s="23"/>
      <c r="P99" s="2">
        <f>P95+N99</f>
        <v>132</v>
      </c>
      <c r="Q99" s="7">
        <v>10</v>
      </c>
      <c r="R99" s="2" t="str">
        <f>IFERROR(VLOOKUP(D99,$D$9:D98,1,0),"")</f>
        <v/>
      </c>
    </row>
    <row r="100" spans="1:20" x14ac:dyDescent="0.3">
      <c r="A100" s="140"/>
      <c r="B100" s="24">
        <v>1</v>
      </c>
      <c r="C100" s="24">
        <v>4</v>
      </c>
      <c r="D100" s="31"/>
      <c r="E100" s="26"/>
      <c r="F100" s="24"/>
      <c r="G100" s="24"/>
      <c r="H100" s="24"/>
      <c r="I100" s="24"/>
      <c r="J100" s="24"/>
      <c r="K100" s="24"/>
      <c r="L100" s="27"/>
      <c r="M100" s="73"/>
      <c r="N100" s="29"/>
      <c r="O100" s="30"/>
      <c r="Q100" s="7">
        <f t="shared" ref="Q100" si="9">Q99</f>
        <v>10</v>
      </c>
      <c r="R100" s="2" t="str">
        <f>IFERROR(VLOOKUP(D100,$D$9:D99,1,0),"")</f>
        <v/>
      </c>
    </row>
    <row r="101" spans="1:20" ht="35.25" customHeight="1" x14ac:dyDescent="0.4">
      <c r="A101" s="140"/>
      <c r="B101" s="111">
        <v>1</v>
      </c>
      <c r="C101" s="24">
        <v>4</v>
      </c>
      <c r="D101" s="31" t="s">
        <v>173</v>
      </c>
      <c r="E101" s="32" t="s">
        <v>174</v>
      </c>
      <c r="F101" s="25">
        <v>6</v>
      </c>
      <c r="G101" s="25">
        <v>0</v>
      </c>
      <c r="H101" s="25">
        <v>0</v>
      </c>
      <c r="I101" s="25"/>
      <c r="J101" s="25">
        <v>180</v>
      </c>
      <c r="K101" s="25" t="s">
        <v>175</v>
      </c>
      <c r="L101" s="33" t="s">
        <v>177</v>
      </c>
      <c r="M101" s="50" t="s">
        <v>176</v>
      </c>
      <c r="N101" s="97"/>
      <c r="O101" s="112"/>
      <c r="Q101" s="7">
        <f>Q98</f>
        <v>9</v>
      </c>
      <c r="R101" s="2" t="str">
        <f>IFERROR(VLOOKUP(D101,$D$9:D98,1,0),"")</f>
        <v/>
      </c>
    </row>
    <row r="102" spans="1:20" ht="35.25" customHeight="1" x14ac:dyDescent="0.4">
      <c r="A102" s="140"/>
      <c r="B102" s="111">
        <v>1</v>
      </c>
      <c r="C102" s="24">
        <v>4</v>
      </c>
      <c r="D102" s="31" t="s">
        <v>178</v>
      </c>
      <c r="E102" s="32" t="s">
        <v>179</v>
      </c>
      <c r="F102" s="25">
        <v>3</v>
      </c>
      <c r="G102" s="25">
        <v>0</v>
      </c>
      <c r="H102" s="25">
        <v>0</v>
      </c>
      <c r="I102" s="25"/>
      <c r="J102" s="25">
        <v>90</v>
      </c>
      <c r="K102" s="25" t="s">
        <v>175</v>
      </c>
      <c r="L102" s="33" t="s">
        <v>177</v>
      </c>
      <c r="M102" s="50" t="s">
        <v>176</v>
      </c>
      <c r="N102" s="97"/>
      <c r="O102" s="112"/>
      <c r="Q102" s="7">
        <f>Q99</f>
        <v>10</v>
      </c>
      <c r="R102" s="2" t="str">
        <f>IFERROR(VLOOKUP(D102,$D$9:D99,1,0),"")</f>
        <v/>
      </c>
    </row>
    <row r="103" spans="1:20" ht="35.25" customHeight="1" x14ac:dyDescent="0.4">
      <c r="A103" s="146"/>
      <c r="B103" s="111">
        <v>1</v>
      </c>
      <c r="C103" s="24">
        <v>4</v>
      </c>
      <c r="D103" s="31" t="s">
        <v>180</v>
      </c>
      <c r="E103" s="32" t="s">
        <v>181</v>
      </c>
      <c r="F103" s="25">
        <v>3</v>
      </c>
      <c r="G103" s="25">
        <v>0</v>
      </c>
      <c r="H103" s="25">
        <v>0</v>
      </c>
      <c r="I103" s="25"/>
      <c r="J103" s="25">
        <v>90</v>
      </c>
      <c r="K103" s="25" t="s">
        <v>175</v>
      </c>
      <c r="L103" s="33" t="s">
        <v>177</v>
      </c>
      <c r="M103" s="50" t="s">
        <v>176</v>
      </c>
      <c r="N103" s="97"/>
      <c r="O103" s="112"/>
      <c r="Q103" s="7">
        <f>Q100</f>
        <v>10</v>
      </c>
      <c r="R103" s="2" t="str">
        <f>IFERROR(VLOOKUP(D103,$D$9:D100,1,0),"")</f>
        <v/>
      </c>
    </row>
    <row r="104" spans="1:20" s="121" customFormat="1" ht="17.399999999999999" thickBot="1" x14ac:dyDescent="0.35">
      <c r="A104" s="113"/>
      <c r="B104" s="114"/>
      <c r="C104" s="114"/>
      <c r="D104" s="115"/>
      <c r="E104" s="116"/>
      <c r="F104" s="115"/>
      <c r="G104" s="115"/>
      <c r="H104" s="115"/>
      <c r="I104" s="115"/>
      <c r="J104" s="115"/>
      <c r="K104" s="115"/>
      <c r="L104" s="117"/>
      <c r="M104" s="118"/>
      <c r="N104" s="119"/>
      <c r="O104" s="120"/>
      <c r="Q104" s="122"/>
      <c r="T104" s="2"/>
    </row>
    <row r="106" spans="1:20" x14ac:dyDescent="0.3">
      <c r="L106" s="147" t="s">
        <v>218</v>
      </c>
      <c r="M106" s="147"/>
      <c r="N106" s="147"/>
      <c r="O106" s="147"/>
    </row>
    <row r="107" spans="1:20" x14ac:dyDescent="0.3">
      <c r="L107" s="147" t="s">
        <v>219</v>
      </c>
      <c r="M107" s="147"/>
      <c r="N107" s="147"/>
      <c r="O107" s="147"/>
    </row>
    <row r="108" spans="1:20" x14ac:dyDescent="0.3">
      <c r="M108" s="123"/>
      <c r="N108" s="124"/>
      <c r="O108" s="1"/>
    </row>
    <row r="109" spans="1:20" x14ac:dyDescent="0.3">
      <c r="M109" s="123"/>
      <c r="N109" s="124"/>
      <c r="O109" s="1"/>
    </row>
    <row r="110" spans="1:20" x14ac:dyDescent="0.3">
      <c r="M110" s="123"/>
      <c r="N110" s="124"/>
      <c r="O110" s="1"/>
    </row>
    <row r="111" spans="1:20" x14ac:dyDescent="0.3">
      <c r="M111" s="123"/>
      <c r="N111" s="124"/>
      <c r="O111" s="1"/>
      <c r="T111" s="121"/>
    </row>
    <row r="112" spans="1:20" x14ac:dyDescent="0.3">
      <c r="M112" s="142"/>
      <c r="N112" s="142"/>
      <c r="O112" s="142"/>
    </row>
  </sheetData>
  <mergeCells count="25">
    <mergeCell ref="M112:O112"/>
    <mergeCell ref="A59:A75"/>
    <mergeCell ref="A76:A94"/>
    <mergeCell ref="A95:A98"/>
    <mergeCell ref="A99:A103"/>
    <mergeCell ref="L106:O106"/>
    <mergeCell ref="L107:O107"/>
    <mergeCell ref="A43:A57"/>
    <mergeCell ref="G7:J7"/>
    <mergeCell ref="K7:K8"/>
    <mergeCell ref="L7:L8"/>
    <mergeCell ref="M7:M8"/>
    <mergeCell ref="A9:A13"/>
    <mergeCell ref="A14:A18"/>
    <mergeCell ref="A19:A27"/>
    <mergeCell ref="A28:A33"/>
    <mergeCell ref="A34:A42"/>
    <mergeCell ref="N7:N8"/>
    <mergeCell ref="O7:O8"/>
    <mergeCell ref="A7:A8"/>
    <mergeCell ref="B7:B8"/>
    <mergeCell ref="C7:C8"/>
    <mergeCell ref="D7:D8"/>
    <mergeCell ref="E7:E8"/>
    <mergeCell ref="F7:F8"/>
  </mergeCells>
  <conditionalFormatting sqref="B9:O104">
    <cfRule type="expression" dxfId="2" priority="2">
      <formula>MOD($Q9,2)&lt;&gt;0</formula>
    </cfRule>
  </conditionalFormatting>
  <conditionalFormatting sqref="D61:M61 D63:M64 D66:M67 D69:M70 D79:M79 D83:M83 D87:M87">
    <cfRule type="expression" dxfId="1" priority="3">
      <formula>#REF!=1</formula>
    </cfRule>
  </conditionalFormatting>
  <conditionalFormatting sqref="D77:M77">
    <cfRule type="expression" dxfId="0" priority="1">
      <formula>#REF!=1</formula>
    </cfRule>
  </conditionalFormatting>
  <pageMargins left="0.15748031496062992" right="0.15748031496062992" top="0.15748031496062992" bottom="0.15748031496062992" header="0.31496062992125984" footer="0.15748031496062992"/>
  <pageSetup paperSize="9" scale="69" orientation="landscape" r:id="rId1"/>
</worksheet>
</file>

<file path=docMetadata/LabelInfo.xml><?xml version="1.0" encoding="utf-8"?>
<clbl:labelList xmlns:clbl="http://schemas.microsoft.com/office/2020/mipLabelMetadata">
  <clbl:label id="{3011a54b-0a5d-4929-bf02-a00787877c6a}" enabled="0" method="" siteId="{3011a54b-0a5d-4929-bf02-a00787877c6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Ke hoach giảng dạy CNTT</vt:lpstr>
      <vt:lpstr>'Ke hoach giảng dạy CNTT'!Print_Area</vt:lpstr>
      <vt:lpstr>'Ke hoach giảng dạy CNTT'!Print_Titles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Bùi Minh Phụng - Khoa Công nghệ Thông tin - VLTECH</dc:creator>
  <cp:keywords/>
  <dc:description/>
  <cp:lastModifiedBy>Hòa Đào</cp:lastModifiedBy>
  <cp:revision/>
  <dcterms:created xsi:type="dcterms:W3CDTF">2026-04-09T05:23:35Z</dcterms:created>
  <dcterms:modified xsi:type="dcterms:W3CDTF">2026-09-16T06:59:18Z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2026-09-15T07:35:07Z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4037b062-1db2-4245-96b1-84b6ba8bf3e2</vt:lpwstr>
  </property>
  <property fmtid="{D5CDD505-2E9C-101B-9397-08002B2CF9AE}" pid="7" name="MSIP_Label_defa4170-0d19-0005-0004-bc88714345d2_ActionId">
    <vt:lpwstr>dafcb523-74bf-4cd1-bfb5-040fad04c082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
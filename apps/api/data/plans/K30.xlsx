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0" documentId="8_{C27FA263-323E-4098-906D-FA19BD53E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 hoach giảng dạy CNTT" sheetId="8" r:id="rId1"/>
    <sheet name="MaBoMon" sheetId="4" state="hidden" r:id="rId2"/>
  </sheets>
  <externalReferences>
    <externalReference r:id="rId3"/>
    <externalReference r:id="rId4"/>
  </externalReferences>
  <definedNames>
    <definedName name="_xlnm._FilterDatabase" localSheetId="0" hidden="1">'Ke hoach giảng dạy CNTT'!$A$7:$M$103</definedName>
    <definedName name="ChungChi" localSheetId="0">[1]ViTriLamViec!#REF!</definedName>
    <definedName name="ChungChi">[1]ViTriLamViec!#REF!</definedName>
    <definedName name="ChuyenNghanh" localSheetId="0">[1]DM_NganhDT!#REF!</definedName>
    <definedName name="ChuyenNghanh">[1]DM_NganhDT!#REF!</definedName>
    <definedName name="CoSoDaoTao" localSheetId="0">#REF!</definedName>
    <definedName name="CoSoDaoTao">#REF!</definedName>
    <definedName name="CoSoDaoTao_">#REF!</definedName>
    <definedName name="DanhMucPhong" localSheetId="0">#REF!</definedName>
    <definedName name="DanhMucPhong">#REF!</definedName>
    <definedName name="DanToc" localSheetId="0">[1]DanToc!#REF!</definedName>
    <definedName name="DanToc">[1]DanToc!#REF!</definedName>
    <definedName name="_xlnm.Print_Area" localSheetId="0">'Ke hoach giảng dạy CNTT'!$A$1:$O$111</definedName>
    <definedName name="_xlnm.Print_Titles" localSheetId="0">'Ke hoach giảng dạy CNTT'!$7:$8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6" i="8" l="1"/>
  <c r="L96" i="8"/>
  <c r="K96" i="8"/>
  <c r="J96" i="8"/>
  <c r="I96" i="8"/>
  <c r="H96" i="8"/>
  <c r="G96" i="8"/>
  <c r="F96" i="8"/>
  <c r="E96" i="8"/>
  <c r="R95" i="8"/>
  <c r="M95" i="8"/>
  <c r="L95" i="8"/>
  <c r="K95" i="8"/>
  <c r="J95" i="8"/>
  <c r="I95" i="8"/>
  <c r="H95" i="8"/>
  <c r="G95" i="8"/>
  <c r="F95" i="8"/>
  <c r="E95" i="8"/>
  <c r="M60" i="8"/>
  <c r="L60" i="8"/>
  <c r="K60" i="8"/>
  <c r="J60" i="8"/>
  <c r="I60" i="8"/>
  <c r="H60" i="8"/>
  <c r="G60" i="8"/>
  <c r="F60" i="8"/>
  <c r="E60" i="8"/>
  <c r="R42" i="8"/>
  <c r="E42" i="8"/>
  <c r="F42" i="8"/>
  <c r="G42" i="8"/>
  <c r="H42" i="8"/>
  <c r="I42" i="8"/>
  <c r="J42" i="8"/>
  <c r="K42" i="8"/>
  <c r="L42" i="8"/>
  <c r="M42" i="8"/>
  <c r="E35" i="8"/>
  <c r="F35" i="8"/>
  <c r="G35" i="8"/>
  <c r="H35" i="8"/>
  <c r="I35" i="8"/>
  <c r="J35" i="8"/>
  <c r="K35" i="8"/>
  <c r="L35" i="8"/>
  <c r="M35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6" i="8"/>
  <c r="R97" i="8"/>
  <c r="R98" i="8"/>
  <c r="R99" i="8"/>
  <c r="R100" i="8"/>
  <c r="R101" i="8"/>
  <c r="R102" i="8"/>
  <c r="R10" i="8"/>
  <c r="Q10" i="8"/>
  <c r="Q11" i="8" s="1"/>
  <c r="Q12" i="8" s="1"/>
  <c r="Q13" i="8" s="1"/>
  <c r="Q14" i="8" s="1"/>
  <c r="Q15" i="8" s="1"/>
  <c r="Q16" i="8" s="1"/>
  <c r="Q17" i="8" s="1"/>
  <c r="Q19" i="8"/>
  <c r="Q20" i="8" s="1"/>
  <c r="Q21" i="8" s="1"/>
  <c r="Q22" i="8" s="1"/>
  <c r="Q23" i="8" s="1"/>
  <c r="Q25" i="8"/>
  <c r="Q26" i="8" s="1"/>
  <c r="Q27" i="8" s="1"/>
  <c r="Q28" i="8" s="1"/>
  <c r="Q29" i="8" s="1"/>
  <c r="Q31" i="8"/>
  <c r="Q32" i="8" s="1"/>
  <c r="Q33" i="8" s="1"/>
  <c r="Q34" i="8" s="1"/>
  <c r="Q36" i="8"/>
  <c r="Q37" i="8"/>
  <c r="Q38" i="8" s="1"/>
  <c r="Q39" i="8" s="1"/>
  <c r="Q40" i="8" s="1"/>
  <c r="Q46" i="8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60" i="8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7" i="8"/>
  <c r="Q78" i="8"/>
  <c r="Q79" i="8"/>
  <c r="Q80" i="8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6" i="8"/>
  <c r="Q97" i="8"/>
  <c r="Q99" i="8"/>
  <c r="Q100" i="8" s="1"/>
  <c r="Q101" i="8" s="1"/>
  <c r="Q102" i="8" s="1"/>
  <c r="M94" i="8"/>
  <c r="L94" i="8"/>
  <c r="K94" i="8"/>
  <c r="J94" i="8"/>
  <c r="I94" i="8"/>
  <c r="H94" i="8"/>
  <c r="G94" i="8"/>
  <c r="F94" i="8"/>
  <c r="E94" i="8"/>
  <c r="I102" i="8"/>
  <c r="I101" i="8"/>
  <c r="I100" i="8"/>
  <c r="I97" i="8"/>
  <c r="I93" i="8"/>
  <c r="I92" i="8"/>
  <c r="I91" i="8"/>
  <c r="I90" i="8"/>
  <c r="I88" i="8"/>
  <c r="I87" i="8"/>
  <c r="I86" i="8"/>
  <c r="I84" i="8"/>
  <c r="I83" i="8"/>
  <c r="I82" i="8"/>
  <c r="I80" i="8"/>
  <c r="I79" i="8"/>
  <c r="I78" i="8"/>
  <c r="I74" i="8"/>
  <c r="I73" i="8"/>
  <c r="I72" i="8"/>
  <c r="I70" i="8"/>
  <c r="I69" i="8"/>
  <c r="I67" i="8"/>
  <c r="I66" i="8"/>
  <c r="I64" i="8"/>
  <c r="I63" i="8"/>
  <c r="I59" i="8"/>
  <c r="I57" i="8"/>
  <c r="I56" i="8"/>
  <c r="I55" i="8"/>
  <c r="I53" i="8"/>
  <c r="I51" i="8"/>
  <c r="I49" i="8"/>
  <c r="I47" i="8"/>
  <c r="I46" i="8"/>
  <c r="I44" i="8"/>
  <c r="I43" i="8"/>
  <c r="I41" i="8"/>
  <c r="I40" i="8"/>
  <c r="I39" i="8"/>
  <c r="I37" i="8"/>
  <c r="I36" i="8"/>
  <c r="I34" i="8"/>
  <c r="I33" i="8"/>
  <c r="I32" i="8"/>
  <c r="I31" i="8"/>
  <c r="I28" i="8"/>
  <c r="I27" i="8"/>
  <c r="I26" i="8"/>
  <c r="I25" i="8"/>
  <c r="I24" i="8"/>
  <c r="I22" i="8"/>
  <c r="I21" i="8"/>
  <c r="I20" i="8"/>
  <c r="I19" i="8"/>
  <c r="I18" i="8"/>
  <c r="I16" i="8"/>
  <c r="I15" i="8"/>
  <c r="I14" i="8"/>
  <c r="I13" i="8"/>
  <c r="I12" i="8"/>
  <c r="I11" i="8"/>
  <c r="I10" i="8"/>
  <c r="I9" i="8"/>
  <c r="N76" i="8"/>
  <c r="M91" i="8"/>
  <c r="L91" i="8"/>
  <c r="K91" i="8"/>
  <c r="J91" i="8"/>
  <c r="H91" i="8"/>
  <c r="G91" i="8"/>
  <c r="F91" i="8"/>
  <c r="E91" i="8"/>
  <c r="M90" i="8"/>
  <c r="L90" i="8"/>
  <c r="K90" i="8"/>
  <c r="J90" i="8"/>
  <c r="H90" i="8"/>
  <c r="G90" i="8"/>
  <c r="F90" i="8"/>
  <c r="E90" i="8"/>
  <c r="M40" i="8"/>
  <c r="L40" i="8"/>
  <c r="K40" i="8"/>
  <c r="J40" i="8"/>
  <c r="H40" i="8"/>
  <c r="G40" i="8"/>
  <c r="F40" i="8"/>
  <c r="E40" i="8"/>
  <c r="M102" i="8"/>
  <c r="L102" i="8"/>
  <c r="K102" i="8"/>
  <c r="J102" i="8"/>
  <c r="H102" i="8"/>
  <c r="G102" i="8"/>
  <c r="F102" i="8"/>
  <c r="E102" i="8"/>
  <c r="M101" i="8"/>
  <c r="L101" i="8"/>
  <c r="K101" i="8"/>
  <c r="J101" i="8"/>
  <c r="H101" i="8"/>
  <c r="G101" i="8"/>
  <c r="F101" i="8"/>
  <c r="E101" i="8"/>
  <c r="M100" i="8"/>
  <c r="L100" i="8"/>
  <c r="K100" i="8"/>
  <c r="J100" i="8"/>
  <c r="H100" i="8"/>
  <c r="G100" i="8"/>
  <c r="F100" i="8"/>
  <c r="N98" i="8" s="1"/>
  <c r="E100" i="8"/>
  <c r="M97" i="8"/>
  <c r="L97" i="8"/>
  <c r="K97" i="8"/>
  <c r="J97" i="8"/>
  <c r="H97" i="8"/>
  <c r="G97" i="8"/>
  <c r="F97" i="8"/>
  <c r="E97" i="8"/>
  <c r="M93" i="8"/>
  <c r="L93" i="8"/>
  <c r="K93" i="8"/>
  <c r="J93" i="8"/>
  <c r="H93" i="8"/>
  <c r="G93" i="8"/>
  <c r="F93" i="8"/>
  <c r="E93" i="8"/>
  <c r="M92" i="8"/>
  <c r="L92" i="8"/>
  <c r="K92" i="8"/>
  <c r="J92" i="8"/>
  <c r="H92" i="8"/>
  <c r="G92" i="8"/>
  <c r="F92" i="8"/>
  <c r="E92" i="8"/>
  <c r="M88" i="8"/>
  <c r="L88" i="8"/>
  <c r="K88" i="8"/>
  <c r="J88" i="8"/>
  <c r="H88" i="8"/>
  <c r="G88" i="8"/>
  <c r="F88" i="8"/>
  <c r="E88" i="8"/>
  <c r="M87" i="8"/>
  <c r="L87" i="8"/>
  <c r="K87" i="8"/>
  <c r="J87" i="8"/>
  <c r="H87" i="8"/>
  <c r="G87" i="8"/>
  <c r="F87" i="8"/>
  <c r="E87" i="8"/>
  <c r="M86" i="8"/>
  <c r="L86" i="8"/>
  <c r="K86" i="8"/>
  <c r="J86" i="8"/>
  <c r="H86" i="8"/>
  <c r="G86" i="8"/>
  <c r="F86" i="8"/>
  <c r="E86" i="8"/>
  <c r="M84" i="8"/>
  <c r="L84" i="8"/>
  <c r="K84" i="8"/>
  <c r="J84" i="8"/>
  <c r="H84" i="8"/>
  <c r="G84" i="8"/>
  <c r="F84" i="8"/>
  <c r="E84" i="8"/>
  <c r="M83" i="8"/>
  <c r="L83" i="8"/>
  <c r="K83" i="8"/>
  <c r="J83" i="8"/>
  <c r="H83" i="8"/>
  <c r="G83" i="8"/>
  <c r="F83" i="8"/>
  <c r="E83" i="8"/>
  <c r="M82" i="8"/>
  <c r="L82" i="8"/>
  <c r="K82" i="8"/>
  <c r="J82" i="8"/>
  <c r="H82" i="8"/>
  <c r="G82" i="8"/>
  <c r="F82" i="8"/>
  <c r="E82" i="8"/>
  <c r="M80" i="8"/>
  <c r="L80" i="8"/>
  <c r="K80" i="8"/>
  <c r="J80" i="8"/>
  <c r="H80" i="8"/>
  <c r="G80" i="8"/>
  <c r="F80" i="8"/>
  <c r="E80" i="8"/>
  <c r="M79" i="8"/>
  <c r="L79" i="8"/>
  <c r="K79" i="8"/>
  <c r="J79" i="8"/>
  <c r="H79" i="8"/>
  <c r="G79" i="8"/>
  <c r="F79" i="8"/>
  <c r="E79" i="8"/>
  <c r="M78" i="8"/>
  <c r="L78" i="8"/>
  <c r="K78" i="8"/>
  <c r="J78" i="8"/>
  <c r="H78" i="8"/>
  <c r="G78" i="8"/>
  <c r="F78" i="8"/>
  <c r="E78" i="8"/>
  <c r="M74" i="8"/>
  <c r="L74" i="8"/>
  <c r="K74" i="8"/>
  <c r="J74" i="8"/>
  <c r="H74" i="8"/>
  <c r="G74" i="8"/>
  <c r="F74" i="8"/>
  <c r="E74" i="8"/>
  <c r="M73" i="8"/>
  <c r="L73" i="8"/>
  <c r="K73" i="8"/>
  <c r="J73" i="8"/>
  <c r="H73" i="8"/>
  <c r="G73" i="8"/>
  <c r="F73" i="8"/>
  <c r="E73" i="8"/>
  <c r="M72" i="8"/>
  <c r="L72" i="8"/>
  <c r="K72" i="8"/>
  <c r="J72" i="8"/>
  <c r="H72" i="8"/>
  <c r="G72" i="8"/>
  <c r="F72" i="8"/>
  <c r="E72" i="8"/>
  <c r="M70" i="8"/>
  <c r="L70" i="8"/>
  <c r="K70" i="8"/>
  <c r="J70" i="8"/>
  <c r="H70" i="8"/>
  <c r="G70" i="8"/>
  <c r="F70" i="8"/>
  <c r="E70" i="8"/>
  <c r="M69" i="8"/>
  <c r="L69" i="8"/>
  <c r="K69" i="8"/>
  <c r="J69" i="8"/>
  <c r="H69" i="8"/>
  <c r="G69" i="8"/>
  <c r="F69" i="8"/>
  <c r="E69" i="8"/>
  <c r="M67" i="8"/>
  <c r="L67" i="8"/>
  <c r="K67" i="8"/>
  <c r="J67" i="8"/>
  <c r="H67" i="8"/>
  <c r="G67" i="8"/>
  <c r="F67" i="8"/>
  <c r="E67" i="8"/>
  <c r="M66" i="8"/>
  <c r="L66" i="8"/>
  <c r="K66" i="8"/>
  <c r="J66" i="8"/>
  <c r="H66" i="8"/>
  <c r="G66" i="8"/>
  <c r="F66" i="8"/>
  <c r="E66" i="8"/>
  <c r="M64" i="8"/>
  <c r="L64" i="8"/>
  <c r="K64" i="8"/>
  <c r="J64" i="8"/>
  <c r="H64" i="8"/>
  <c r="G64" i="8"/>
  <c r="F64" i="8"/>
  <c r="E64" i="8"/>
  <c r="M63" i="8"/>
  <c r="L63" i="8"/>
  <c r="K63" i="8"/>
  <c r="J63" i="8"/>
  <c r="H63" i="8"/>
  <c r="G63" i="8"/>
  <c r="F63" i="8"/>
  <c r="E63" i="8"/>
  <c r="M59" i="8"/>
  <c r="L59" i="8"/>
  <c r="K59" i="8"/>
  <c r="J59" i="8"/>
  <c r="H59" i="8"/>
  <c r="G59" i="8"/>
  <c r="F59" i="8"/>
  <c r="E59" i="8"/>
  <c r="M57" i="8"/>
  <c r="L57" i="8"/>
  <c r="K57" i="8"/>
  <c r="J57" i="8"/>
  <c r="H57" i="8"/>
  <c r="G57" i="8"/>
  <c r="F57" i="8"/>
  <c r="E57" i="8"/>
  <c r="M56" i="8"/>
  <c r="L56" i="8"/>
  <c r="K56" i="8"/>
  <c r="J56" i="8"/>
  <c r="H56" i="8"/>
  <c r="G56" i="8"/>
  <c r="F56" i="8"/>
  <c r="E56" i="8"/>
  <c r="M55" i="8"/>
  <c r="L55" i="8"/>
  <c r="K55" i="8"/>
  <c r="J55" i="8"/>
  <c r="H55" i="8"/>
  <c r="G55" i="8"/>
  <c r="F55" i="8"/>
  <c r="E55" i="8"/>
  <c r="M53" i="8"/>
  <c r="L53" i="8"/>
  <c r="K53" i="8"/>
  <c r="J53" i="8"/>
  <c r="H53" i="8"/>
  <c r="G53" i="8"/>
  <c r="F53" i="8"/>
  <c r="E53" i="8"/>
  <c r="M51" i="8"/>
  <c r="L51" i="8"/>
  <c r="K51" i="8"/>
  <c r="J51" i="8"/>
  <c r="H51" i="8"/>
  <c r="G51" i="8"/>
  <c r="F51" i="8"/>
  <c r="E51" i="8"/>
  <c r="M49" i="8"/>
  <c r="L49" i="8"/>
  <c r="K49" i="8"/>
  <c r="J49" i="8"/>
  <c r="H49" i="8"/>
  <c r="G49" i="8"/>
  <c r="F49" i="8"/>
  <c r="E49" i="8"/>
  <c r="M47" i="8"/>
  <c r="L47" i="8"/>
  <c r="K47" i="8"/>
  <c r="J47" i="8"/>
  <c r="H47" i="8"/>
  <c r="G47" i="8"/>
  <c r="F47" i="8"/>
  <c r="E47" i="8"/>
  <c r="M46" i="8"/>
  <c r="L46" i="8"/>
  <c r="K46" i="8"/>
  <c r="J46" i="8"/>
  <c r="H46" i="8"/>
  <c r="G46" i="8"/>
  <c r="F46" i="8"/>
  <c r="E46" i="8"/>
  <c r="M44" i="8"/>
  <c r="L44" i="8"/>
  <c r="K44" i="8"/>
  <c r="J44" i="8"/>
  <c r="H44" i="8"/>
  <c r="G44" i="8"/>
  <c r="F44" i="8"/>
  <c r="E44" i="8"/>
  <c r="M43" i="8"/>
  <c r="L43" i="8"/>
  <c r="K43" i="8"/>
  <c r="J43" i="8"/>
  <c r="H43" i="8"/>
  <c r="G43" i="8"/>
  <c r="F43" i="8"/>
  <c r="E43" i="8"/>
  <c r="M41" i="8"/>
  <c r="L41" i="8"/>
  <c r="K41" i="8"/>
  <c r="J41" i="8"/>
  <c r="H41" i="8"/>
  <c r="G41" i="8"/>
  <c r="F41" i="8"/>
  <c r="E41" i="8"/>
  <c r="M39" i="8"/>
  <c r="L39" i="8"/>
  <c r="K39" i="8"/>
  <c r="J39" i="8"/>
  <c r="H39" i="8"/>
  <c r="G39" i="8"/>
  <c r="F39" i="8"/>
  <c r="E39" i="8"/>
  <c r="M37" i="8"/>
  <c r="L37" i="8"/>
  <c r="K37" i="8"/>
  <c r="J37" i="8"/>
  <c r="H37" i="8"/>
  <c r="G37" i="8"/>
  <c r="F37" i="8"/>
  <c r="E37" i="8"/>
  <c r="M36" i="8"/>
  <c r="L36" i="8"/>
  <c r="K36" i="8"/>
  <c r="J36" i="8"/>
  <c r="H36" i="8"/>
  <c r="G36" i="8"/>
  <c r="F36" i="8"/>
  <c r="E36" i="8"/>
  <c r="M34" i="8"/>
  <c r="L34" i="8"/>
  <c r="K34" i="8"/>
  <c r="J34" i="8"/>
  <c r="H34" i="8"/>
  <c r="G34" i="8"/>
  <c r="F34" i="8"/>
  <c r="E34" i="8"/>
  <c r="M33" i="8"/>
  <c r="L33" i="8"/>
  <c r="K33" i="8"/>
  <c r="J33" i="8"/>
  <c r="H33" i="8"/>
  <c r="G33" i="8"/>
  <c r="F33" i="8"/>
  <c r="E33" i="8"/>
  <c r="M32" i="8"/>
  <c r="L32" i="8"/>
  <c r="K32" i="8"/>
  <c r="J32" i="8"/>
  <c r="H32" i="8"/>
  <c r="G32" i="8"/>
  <c r="F32" i="8"/>
  <c r="E32" i="8"/>
  <c r="M31" i="8"/>
  <c r="L31" i="8"/>
  <c r="K31" i="8"/>
  <c r="J31" i="8"/>
  <c r="H31" i="8"/>
  <c r="G31" i="8"/>
  <c r="F31" i="8"/>
  <c r="E31" i="8"/>
  <c r="M28" i="8"/>
  <c r="L28" i="8"/>
  <c r="K28" i="8"/>
  <c r="J28" i="8"/>
  <c r="H28" i="8"/>
  <c r="G28" i="8"/>
  <c r="F28" i="8"/>
  <c r="E28" i="8"/>
  <c r="M27" i="8"/>
  <c r="L27" i="8"/>
  <c r="K27" i="8"/>
  <c r="J27" i="8"/>
  <c r="H27" i="8"/>
  <c r="G27" i="8"/>
  <c r="F27" i="8"/>
  <c r="E27" i="8"/>
  <c r="M26" i="8"/>
  <c r="L26" i="8"/>
  <c r="K26" i="8"/>
  <c r="J26" i="8"/>
  <c r="H26" i="8"/>
  <c r="G26" i="8"/>
  <c r="F26" i="8"/>
  <c r="E26" i="8"/>
  <c r="M25" i="8"/>
  <c r="L25" i="8"/>
  <c r="K25" i="8"/>
  <c r="J25" i="8"/>
  <c r="H25" i="8"/>
  <c r="G25" i="8"/>
  <c r="F25" i="8"/>
  <c r="E25" i="8"/>
  <c r="M24" i="8"/>
  <c r="L24" i="8"/>
  <c r="K24" i="8"/>
  <c r="J24" i="8"/>
  <c r="H24" i="8"/>
  <c r="G24" i="8"/>
  <c r="F24" i="8"/>
  <c r="E24" i="8"/>
  <c r="M22" i="8"/>
  <c r="L22" i="8"/>
  <c r="K22" i="8"/>
  <c r="J22" i="8"/>
  <c r="H22" i="8"/>
  <c r="G22" i="8"/>
  <c r="F22" i="8"/>
  <c r="E22" i="8"/>
  <c r="M21" i="8"/>
  <c r="L21" i="8"/>
  <c r="K21" i="8"/>
  <c r="J21" i="8"/>
  <c r="H21" i="8"/>
  <c r="G21" i="8"/>
  <c r="F21" i="8"/>
  <c r="E21" i="8"/>
  <c r="M20" i="8"/>
  <c r="L20" i="8"/>
  <c r="K20" i="8"/>
  <c r="J20" i="8"/>
  <c r="H20" i="8"/>
  <c r="G20" i="8"/>
  <c r="F20" i="8"/>
  <c r="E20" i="8"/>
  <c r="M19" i="8"/>
  <c r="L19" i="8"/>
  <c r="K19" i="8"/>
  <c r="J19" i="8"/>
  <c r="H19" i="8"/>
  <c r="G19" i="8"/>
  <c r="F19" i="8"/>
  <c r="E19" i="8"/>
  <c r="M18" i="8"/>
  <c r="L18" i="8"/>
  <c r="K18" i="8"/>
  <c r="J18" i="8"/>
  <c r="H18" i="8"/>
  <c r="G18" i="8"/>
  <c r="F18" i="8"/>
  <c r="E18" i="8"/>
  <c r="M16" i="8"/>
  <c r="L16" i="8"/>
  <c r="K16" i="8"/>
  <c r="J16" i="8"/>
  <c r="H16" i="8"/>
  <c r="G16" i="8"/>
  <c r="F16" i="8"/>
  <c r="E16" i="8"/>
  <c r="M15" i="8"/>
  <c r="L15" i="8"/>
  <c r="K15" i="8"/>
  <c r="J15" i="8"/>
  <c r="H15" i="8"/>
  <c r="G15" i="8"/>
  <c r="F15" i="8"/>
  <c r="E15" i="8"/>
  <c r="M14" i="8"/>
  <c r="L14" i="8"/>
  <c r="K14" i="8"/>
  <c r="J14" i="8"/>
  <c r="H14" i="8"/>
  <c r="G14" i="8"/>
  <c r="F14" i="8"/>
  <c r="E14" i="8"/>
  <c r="M13" i="8"/>
  <c r="L13" i="8"/>
  <c r="K13" i="8"/>
  <c r="J13" i="8"/>
  <c r="H13" i="8"/>
  <c r="G13" i="8"/>
  <c r="F13" i="8"/>
  <c r="E13" i="8"/>
  <c r="M12" i="8"/>
  <c r="L12" i="8"/>
  <c r="K12" i="8"/>
  <c r="J12" i="8"/>
  <c r="H12" i="8"/>
  <c r="G12" i="8"/>
  <c r="F12" i="8"/>
  <c r="E12" i="8"/>
  <c r="M11" i="8"/>
  <c r="L11" i="8"/>
  <c r="K11" i="8"/>
  <c r="J11" i="8"/>
  <c r="H11" i="8"/>
  <c r="G11" i="8"/>
  <c r="F11" i="8"/>
  <c r="E11" i="8"/>
  <c r="M10" i="8"/>
  <c r="L10" i="8"/>
  <c r="K10" i="8"/>
  <c r="J10" i="8"/>
  <c r="H10" i="8"/>
  <c r="G10" i="8"/>
  <c r="F10" i="8"/>
  <c r="E10" i="8"/>
  <c r="M9" i="8"/>
  <c r="L9" i="8"/>
  <c r="K9" i="8"/>
  <c r="J9" i="8"/>
  <c r="H9" i="8"/>
  <c r="G9" i="8"/>
  <c r="F9" i="8"/>
  <c r="E9" i="8"/>
  <c r="N9" i="8" l="1"/>
  <c r="N30" i="8"/>
  <c r="Q42" i="8"/>
  <c r="Q41" i="8"/>
  <c r="Q43" i="8" s="1"/>
  <c r="Q44" i="8" s="1"/>
  <c r="N94" i="8"/>
  <c r="N59" i="8"/>
  <c r="N35" i="8"/>
  <c r="N45" i="8"/>
  <c r="N24" i="8"/>
  <c r="N18" i="8"/>
  <c r="P18" i="8" s="1"/>
  <c r="P24" i="8" l="1"/>
  <c r="P30" i="8" s="1"/>
  <c r="P35" i="8" s="1"/>
  <c r="P45" i="8" s="1"/>
  <c r="P59" i="8" s="1"/>
  <c r="P76" i="8" s="1"/>
  <c r="P94" i="8" s="1"/>
  <c r="P98" i="8" s="1"/>
  <c r="N4" i="8"/>
</calcChain>
</file>

<file path=xl/sharedStrings.xml><?xml version="1.0" encoding="utf-8"?>
<sst xmlns="http://schemas.openxmlformats.org/spreadsheetml/2006/main" count="498" uniqueCount="355">
  <si>
    <t>TRƯỜNG ĐẠI HỌC VĂN LANG</t>
  </si>
  <si>
    <t>KHOA CÔNG NGHỆ THÔNG TIN</t>
  </si>
  <si>
    <t>KẾ HOẠCH ĐÀO TẠO NGÀNH CÔNG NGHỆ THÔNG TIN - KHÓA 30</t>
  </si>
  <si>
    <t>TT</t>
  </si>
  <si>
    <t>Phân bổ học kỳ</t>
  </si>
  <si>
    <t>Năm Thứ</t>
  </si>
  <si>
    <t>Mã học phần</t>
  </si>
  <si>
    <t>Tên học phần (Tiếng Việt)</t>
  </si>
  <si>
    <t>Số tín chỉ</t>
  </si>
  <si>
    <t>Số tiết/giờ</t>
  </si>
  <si>
    <t>Bắt buộc/Tự chọn</t>
  </si>
  <si>
    <t>ĐK tiên quyết</t>
  </si>
  <si>
    <t>ĐK học trước</t>
  </si>
  <si>
    <t>Số TC/ HK</t>
  </si>
  <si>
    <t>Ghi chú</t>
  </si>
  <si>
    <t>LT</t>
  </si>
  <si>
    <t>TH</t>
  </si>
  <si>
    <t>ĐA</t>
  </si>
  <si>
    <t>HK241
1</t>
  </si>
  <si>
    <t>71ENG110013</t>
  </si>
  <si>
    <t>71ITBS10103</t>
  </si>
  <si>
    <t>71ITBS10203</t>
  </si>
  <si>
    <t>71SSK110023</t>
  </si>
  <si>
    <t>71NAD110013</t>
  </si>
  <si>
    <t>71NAD210022</t>
  </si>
  <si>
    <t>71NAD310032</t>
  </si>
  <si>
    <t>71NAD410044</t>
  </si>
  <si>
    <t>HK242
2</t>
  </si>
  <si>
    <t>71POLP10013</t>
  </si>
  <si>
    <t>71ENG210023</t>
  </si>
  <si>
    <t>71ITMA10104</t>
  </si>
  <si>
    <t>71ITNW30103</t>
  </si>
  <si>
    <t>71ITSE30103</t>
  </si>
  <si>
    <t>HK243
3</t>
  </si>
  <si>
    <t>71POLE10022</t>
  </si>
  <si>
    <t>71ENG310033</t>
  </si>
  <si>
    <t>71ITIS30103</t>
  </si>
  <si>
    <t>71ITSE30303</t>
  </si>
  <si>
    <t>71MATL10053</t>
  </si>
  <si>
    <t>HK251
4</t>
  </si>
  <si>
    <t>71ENG410043</t>
  </si>
  <si>
    <t>71ITSE30203</t>
  </si>
  <si>
    <t>71ITSE30503</t>
  </si>
  <si>
    <t>HK252
5</t>
  </si>
  <si>
    <t>71POLS10032</t>
  </si>
  <si>
    <t>71ENG510053</t>
  </si>
  <si>
    <t>71ITDS30103</t>
  </si>
  <si>
    <t>Chọn 2 trong 6 HP tự chọn Cơ sở ngành</t>
  </si>
  <si>
    <t>71ISBC30103</t>
  </si>
  <si>
    <t>71ITNW30303</t>
  </si>
  <si>
    <t>71ITDS40203</t>
  </si>
  <si>
    <t>71ITIS30303</t>
  </si>
  <si>
    <t>71ITIS30203</t>
  </si>
  <si>
    <t>71ITSE30403</t>
  </si>
  <si>
    <t>HK253
6</t>
  </si>
  <si>
    <t>71ENG610063</t>
  </si>
  <si>
    <t>71ITAI40103</t>
  </si>
  <si>
    <t>Chuyên ngành CNPM</t>
  </si>
  <si>
    <t>71ITSE41003</t>
  </si>
  <si>
    <t>Chuyên ngành CNDL</t>
  </si>
  <si>
    <t>71ITDS40303</t>
  </si>
  <si>
    <t>Chuyên ngành Trí tuệ Nhân tạo</t>
  </si>
  <si>
    <t>71ITAI40803</t>
  </si>
  <si>
    <t>Chọn 1 trong 3 HP tự chọn Cơ sở ngành sau</t>
  </si>
  <si>
    <t>71NWSE40103</t>
  </si>
  <si>
    <t>71ITSE30903</t>
  </si>
  <si>
    <t>71ITDS30203</t>
  </si>
  <si>
    <t>HK261
7</t>
  </si>
  <si>
    <t>71ENG710073</t>
  </si>
  <si>
    <t>71LAWG10012</t>
  </si>
  <si>
    <t>71ITSE41103</t>
  </si>
  <si>
    <t>71ITSE41203</t>
  </si>
  <si>
    <t>71ITAI40203</t>
  </si>
  <si>
    <t>71ITAI40303</t>
  </si>
  <si>
    <t>71ITAI41203</t>
  </si>
  <si>
    <t>71ITAI40503</t>
  </si>
  <si>
    <t>Chọn 1 trong 3 HP tự chọn Chuyên ngành sau</t>
  </si>
  <si>
    <t>71ITSE30603</t>
  </si>
  <si>
    <t>71ITAI51403</t>
  </si>
  <si>
    <t>71ITNW30403</t>
  </si>
  <si>
    <t>HK262
8</t>
  </si>
  <si>
    <t>71ITSE41403</t>
  </si>
  <si>
    <t>71ITSE41303</t>
  </si>
  <si>
    <t>71ITSE41503</t>
  </si>
  <si>
    <t>71ITDS40403</t>
  </si>
  <si>
    <t>71ITAI40903</t>
  </si>
  <si>
    <t>71ITDS40503</t>
  </si>
  <si>
    <t>71ITAI40603</t>
  </si>
  <si>
    <t>71ITAI40403</t>
  </si>
  <si>
    <t>71ITAI41303</t>
  </si>
  <si>
    <t>Chọn 2 trong 4 HP tự chọn Chuyên ngành sau</t>
  </si>
  <si>
    <t>71ITSE30703</t>
  </si>
  <si>
    <t>71ITSE31003</t>
  </si>
  <si>
    <t>71ITSE30803</t>
  </si>
  <si>
    <t>71ITSE41603</t>
  </si>
  <si>
    <t>HK263
9</t>
  </si>
  <si>
    <t>71POLC10052</t>
  </si>
  <si>
    <t>71POLH10042</t>
  </si>
  <si>
    <t>71ITIN40304</t>
  </si>
  <si>
    <t>HK271
10</t>
  </si>
  <si>
    <t>71ITGR40206</t>
  </si>
  <si>
    <t xml:space="preserve">TP. Hồ Chí Minh, ngày      tháng       năm </t>
  </si>
  <si>
    <t xml:space="preserve">TRƯỞNG KHOA </t>
  </si>
  <si>
    <t>200110201</t>
  </si>
  <si>
    <t>200110701</t>
  </si>
  <si>
    <t>Bộ môn Khoa học dữ liệu</t>
  </si>
  <si>
    <t>200111206</t>
  </si>
  <si>
    <t>200111208</t>
  </si>
  <si>
    <t>Bộ môn Kinh tế chính trị Mác - Lênin</t>
  </si>
  <si>
    <t>200111207</t>
  </si>
  <si>
    <t>Bộ môn Anh văn tổng quát</t>
  </si>
  <si>
    <t>Bộ môn Giáo dục thể chất</t>
  </si>
  <si>
    <t>Bộ môn Giáo dục quốc phòng và an ninh</t>
  </si>
  <si>
    <t>200110704</t>
  </si>
  <si>
    <t>Bộ môn Quản trị Hệ thống thông tin</t>
  </si>
  <si>
    <t>200110702</t>
  </si>
  <si>
    <t>Bộ môn Mạng máy tính &amp; Internet vạn vật kết nối</t>
  </si>
  <si>
    <t>200110703</t>
  </si>
  <si>
    <t>Bộ môn Kỹ Thuật Phầm Mềm</t>
  </si>
  <si>
    <r>
      <t xml:space="preserve">TRƯỜNG ĐẠI HỌC VĂN LANG
</t>
    </r>
    <r>
      <rPr>
        <b/>
        <sz val="10"/>
        <color theme="1"/>
        <rFont val="Calibri"/>
        <family val="2"/>
      </rPr>
      <t>PHÒNG ĐÀO TẠO</t>
    </r>
  </si>
  <si>
    <t>DANH MỤC  BỘ MÔN  THEO  TỜ TRÌNH ĐÃ ĐƯỢC HIỆU TRƯỞNG PHÊ DUYỆT
(Theo tờ trình số 01/TTr-ĐHVL-BCL, ngày 27 tháng 02 năm 2021)</t>
  </si>
  <si>
    <t>STT</t>
  </si>
  <si>
    <t>Mã Bộ môn</t>
  </si>
  <si>
    <t>Tên Bộ môn</t>
  </si>
  <si>
    <t>Mã đơn vị</t>
  </si>
  <si>
    <t>Tên đơn vị</t>
  </si>
  <si>
    <t>200110101</t>
  </si>
  <si>
    <t>Bộ môn Kế toán quản trị</t>
  </si>
  <si>
    <t>2001101</t>
  </si>
  <si>
    <t>Khoa Kế toán - Kiểm toán</t>
  </si>
  <si>
    <t>200110102</t>
  </si>
  <si>
    <t>Bộ môn Kế toán tài chính và Thực hành kế toán</t>
  </si>
  <si>
    <t>200110103</t>
  </si>
  <si>
    <t>Bộ môn Nguyên lý kế toán và Kiểm toán</t>
  </si>
  <si>
    <t>Bộ môn Luật Hiến pháp - Hành chính</t>
  </si>
  <si>
    <t>2001102</t>
  </si>
  <si>
    <t>Khoa Luật</t>
  </si>
  <si>
    <t>200110202</t>
  </si>
  <si>
    <t>Bộ môn Luật Quốc tế</t>
  </si>
  <si>
    <t>200110203</t>
  </si>
  <si>
    <t>Bộ môn Luật Thương mại - Dân sự</t>
  </si>
  <si>
    <t>200110204</t>
  </si>
  <si>
    <t>Bộ môn Luật hình sự</t>
  </si>
  <si>
    <t>200110301</t>
  </si>
  <si>
    <t>Bộ môn Kỹ năng ngôn ngữ</t>
  </si>
  <si>
    <t>2001103</t>
  </si>
  <si>
    <t>Khoa Ngoại ngữ</t>
  </si>
  <si>
    <t>200110302</t>
  </si>
  <si>
    <t>Bộ môn Ngoại ngữ 2 Và Ngôn Ngữ Trung</t>
  </si>
  <si>
    <t>200110303</t>
  </si>
  <si>
    <t>Bộ môn Ngôn ngữ chuyên ngành</t>
  </si>
  <si>
    <t>200110304</t>
  </si>
  <si>
    <t>Bộ môn Chương trình đào tạo đặc biệt &amp; liên kết quốc tế</t>
  </si>
  <si>
    <t>200110401</t>
  </si>
  <si>
    <t>Bộ môn Quản Trị Chất Lượng</t>
  </si>
  <si>
    <t>2001104</t>
  </si>
  <si>
    <t>Khoa Quản trị kinh doanh</t>
  </si>
  <si>
    <t>200110402</t>
  </si>
  <si>
    <t>Bộ môn Quản Trị Dự Án</t>
  </si>
  <si>
    <t>200110403</t>
  </si>
  <si>
    <t>Bộ môn Quản Trị Khởi Nghiệp</t>
  </si>
  <si>
    <t>200110404</t>
  </si>
  <si>
    <t>Bộ môn Quản trị tổng hợp</t>
  </si>
  <si>
    <t>200110405</t>
  </si>
  <si>
    <t>Bộ môn Quản trị nhân sự</t>
  </si>
  <si>
    <t>200110406</t>
  </si>
  <si>
    <t>Bộ môn Quản trị vận hành</t>
  </si>
  <si>
    <t>200110407</t>
  </si>
  <si>
    <t>Bộ môn Kinh tế cơ bản</t>
  </si>
  <si>
    <t>200110501</t>
  </si>
  <si>
    <t>Bộ môn Tài chính doanh nghiệp</t>
  </si>
  <si>
    <t>2001105</t>
  </si>
  <si>
    <t>Khoa Tài chính - Ngân hàng</t>
  </si>
  <si>
    <t>200110502</t>
  </si>
  <si>
    <t>Bộ môn Đầu tư tài chính</t>
  </si>
  <si>
    <t>200110503</t>
  </si>
  <si>
    <t>Bộ môn Bất động sản</t>
  </si>
  <si>
    <t>200110504</t>
  </si>
  <si>
    <t>Bộ môn Ngân hàng</t>
  </si>
  <si>
    <t>200110505</t>
  </si>
  <si>
    <t>Bộ môn Quản Trị Rủi Ro Và Bảo Hiểm</t>
  </si>
  <si>
    <t>200110601</t>
  </si>
  <si>
    <t>Bộ môn Kinh doanh thương mại</t>
  </si>
  <si>
    <t>2001106</t>
  </si>
  <si>
    <t>Khoa Thương mại</t>
  </si>
  <si>
    <t>200110602</t>
  </si>
  <si>
    <t>Bộ môn Marketing</t>
  </si>
  <si>
    <t>200110603</t>
  </si>
  <si>
    <t>Bộ môn Logistic và Quản trị chuỗi cung ứng</t>
  </si>
  <si>
    <t>2001107</t>
  </si>
  <si>
    <t>Khoa Công nghệ thông tin</t>
  </si>
  <si>
    <t>200110801</t>
  </si>
  <si>
    <t>Bộ môn Thiết kế kiến trúc</t>
  </si>
  <si>
    <t>2001108</t>
  </si>
  <si>
    <t>Khoa Kiến trúc</t>
  </si>
  <si>
    <t>200110802</t>
  </si>
  <si>
    <t>Bộ môn Kỹ thuật kiến trúc</t>
  </si>
  <si>
    <t>200110803</t>
  </si>
  <si>
    <t>Bộ môn Lý thuyết kiến trúc</t>
  </si>
  <si>
    <t>200110901</t>
  </si>
  <si>
    <t>Bộ môn Mỹ thuật cơ bản</t>
  </si>
  <si>
    <t>2001109</t>
  </si>
  <si>
    <t>Khoa Mỹ thuật và Thiết kế</t>
  </si>
  <si>
    <t>200110902</t>
  </si>
  <si>
    <t>Bộ môn Thiết kế công nghiệp</t>
  </si>
  <si>
    <t>200110903</t>
  </si>
  <si>
    <t>Bộ môn Thiết Kế Đồ họa</t>
  </si>
  <si>
    <t>200110904</t>
  </si>
  <si>
    <t>Bộ môn Thiết kế nội thất</t>
  </si>
  <si>
    <t>200110905</t>
  </si>
  <si>
    <t>Bộ môn Thiết kế thời trang</t>
  </si>
  <si>
    <t>200110906</t>
  </si>
  <si>
    <t>Bộ môn Đồ họa truyền thông tương tác</t>
  </si>
  <si>
    <t>200111001</t>
  </si>
  <si>
    <t>Bộ môn Truyền thông đa phương tiện</t>
  </si>
  <si>
    <t>2001110</t>
  </si>
  <si>
    <t>Khoa Quan hệ công chúng - Truyền thông</t>
  </si>
  <si>
    <t>200111002</t>
  </si>
  <si>
    <t>Bộ môn PR trong doanh nghiệp</t>
  </si>
  <si>
    <t>200111003</t>
  </si>
  <si>
    <t>Bộ môn Báo chí</t>
  </si>
  <si>
    <t>200111101</t>
  </si>
  <si>
    <t>Bộ môn Cơ sở</t>
  </si>
  <si>
    <t>2001111</t>
  </si>
  <si>
    <t>Khoa Xây Dựng</t>
  </si>
  <si>
    <t>200111102</t>
  </si>
  <si>
    <t>Bộ môn Công trình</t>
  </si>
  <si>
    <t>200111103</t>
  </si>
  <si>
    <t>Bộ môn Cầu Đường</t>
  </si>
  <si>
    <t>200111104</t>
  </si>
  <si>
    <t>Bộ môn Kinh tế và Quản lý xây dựng</t>
  </si>
  <si>
    <t>200111203</t>
  </si>
  <si>
    <t>Bộ môn Lý-Hóa</t>
  </si>
  <si>
    <t>2001112</t>
  </si>
  <si>
    <t>Khoa Khoa học cơ bản</t>
  </si>
  <si>
    <t>200111204</t>
  </si>
  <si>
    <t>Bộ môn Toán</t>
  </si>
  <si>
    <t>200111205</t>
  </si>
  <si>
    <t>Bộ môn Tin học đại cương</t>
  </si>
  <si>
    <t>Bộ môn Triết học &amp; Chủ nghĩa XHKH</t>
  </si>
  <si>
    <t>Bộ môn Lịch sử Đảng CSVN&amp; Tư tưởng HCM</t>
  </si>
  <si>
    <t>200111301</t>
  </si>
  <si>
    <t>Bộ môn Công nghệ sinh học</t>
  </si>
  <si>
    <t>2001113</t>
  </si>
  <si>
    <t>Khoa Công nghệ</t>
  </si>
  <si>
    <t>200111302</t>
  </si>
  <si>
    <t>Bộ môn Công Nghệ Kỹ Thuật Môi trường</t>
  </si>
  <si>
    <t>200111303</t>
  </si>
  <si>
    <t>Bộ môn Công Nghệ Sinh Y Dược</t>
  </si>
  <si>
    <t>200111304</t>
  </si>
  <si>
    <t>Bộ môn Quản Trị Công Nghệ Sinh Học</t>
  </si>
  <si>
    <t>200111401</t>
  </si>
  <si>
    <t>Bộ môn CNKT Điện - Điện tử</t>
  </si>
  <si>
    <t>2001114</t>
  </si>
  <si>
    <t>Khoa Kỹ thuật</t>
  </si>
  <si>
    <t>200111402</t>
  </si>
  <si>
    <t>Bộ môn Cơ điện tử</t>
  </si>
  <si>
    <t>200111403</t>
  </si>
  <si>
    <t>200111404</t>
  </si>
  <si>
    <t>Bộ môn Nhiệt</t>
  </si>
  <si>
    <t>200111405</t>
  </si>
  <si>
    <t>Bộ môn kỹ thuật phần mềm</t>
  </si>
  <si>
    <t>200111501</t>
  </si>
  <si>
    <t>Bộ môn Động cơ và Khung gầm</t>
  </si>
  <si>
    <t>2001115</t>
  </si>
  <si>
    <t>Khoa Công nghệ ô tô</t>
  </si>
  <si>
    <t>200111502</t>
  </si>
  <si>
    <t>Bộ môn Cơ sở kỹ thuật ô tô</t>
  </si>
  <si>
    <t>200111503</t>
  </si>
  <si>
    <t>Bộ môn Điện - Tự động ô tô</t>
  </si>
  <si>
    <t>200111601</t>
  </si>
  <si>
    <t>Bộ môn Tâm lý học</t>
  </si>
  <si>
    <t>2001116</t>
  </si>
  <si>
    <t>Khoa Xã hội và Nhân văn</t>
  </si>
  <si>
    <t>200111602</t>
  </si>
  <si>
    <t>Bộ môn Văn học</t>
  </si>
  <si>
    <t>200111603</t>
  </si>
  <si>
    <t>Bộ môn Hàn Quốc Học</t>
  </si>
  <si>
    <t>200111604</t>
  </si>
  <si>
    <t>Bộ môn Nhật Bản Học</t>
  </si>
  <si>
    <t>200111605</t>
  </si>
  <si>
    <t>Bộ môn Trung Quốc Học</t>
  </si>
  <si>
    <t>200111606</t>
  </si>
  <si>
    <t>Bộ môn Công tác xã hội</t>
  </si>
  <si>
    <t>200111701</t>
  </si>
  <si>
    <t>Bộ môn Dược học</t>
  </si>
  <si>
    <t>2001117</t>
  </si>
  <si>
    <t>Khoa Dược</t>
  </si>
  <si>
    <t>200111801</t>
  </si>
  <si>
    <t>Bộ môn Điều dưỡng</t>
  </si>
  <si>
    <t>2001118</t>
  </si>
  <si>
    <t>Khoa Điều dưỡng và Kỹ thuật Y học</t>
  </si>
  <si>
    <t>200111802</t>
  </si>
  <si>
    <t>Bộ môn Kỹ thuật Xét nghiệm y học</t>
  </si>
  <si>
    <t>200111803</t>
  </si>
  <si>
    <t>Bộ môn Phòng thí nghiệm</t>
  </si>
  <si>
    <t>200112001</t>
  </si>
  <si>
    <t>Bộ môn Y cơ sở</t>
  </si>
  <si>
    <t>2001120</t>
  </si>
  <si>
    <t>Khoa Y</t>
  </si>
  <si>
    <t>200112101</t>
  </si>
  <si>
    <t>Bộ môn Piano</t>
  </si>
  <si>
    <t>2001121</t>
  </si>
  <si>
    <t>Khoa Nghệ thuật ứng dụng</t>
  </si>
  <si>
    <t>200112102</t>
  </si>
  <si>
    <t>Bộ môn Thanh nhạc</t>
  </si>
  <si>
    <t>200112103</t>
  </si>
  <si>
    <t>Bộ môn Nghệ thuật</t>
  </si>
  <si>
    <t>200112201</t>
  </si>
  <si>
    <t>Bộ môn Răng hàm mặt</t>
  </si>
  <si>
    <t>2001122</t>
  </si>
  <si>
    <t>Khoa Răng Hàm Mặt</t>
  </si>
  <si>
    <t>200112202</t>
  </si>
  <si>
    <t>Bộ môn Nha khoa phục hồi và thẩm mỹ</t>
  </si>
  <si>
    <t>200112203</t>
  </si>
  <si>
    <t>Bộ môn Nha khoa phẫu thuật</t>
  </si>
  <si>
    <t>200112204</t>
  </si>
  <si>
    <t>Bộ môn Nha khoa công cộng</t>
  </si>
  <si>
    <t>200112205</t>
  </si>
  <si>
    <t>Bộ môn Nha khoa cơ sở</t>
  </si>
  <si>
    <t>200112206</t>
  </si>
  <si>
    <t>Bộ môn Nha khoa Thực hành</t>
  </si>
  <si>
    <t>200112207</t>
  </si>
  <si>
    <t>Bộ môn Bệnh học và Phẫu thuật hàm mặt</t>
  </si>
  <si>
    <t>200112301</t>
  </si>
  <si>
    <t>Bộ môn Y học cổ truyền</t>
  </si>
  <si>
    <t>2001123</t>
  </si>
  <si>
    <t>Khoa Y học cổ truyền</t>
  </si>
  <si>
    <t>200112401</t>
  </si>
  <si>
    <t>Bộ môn Quản Trị Dịch Vụ Du Lịch Và Lữ hành</t>
  </si>
  <si>
    <t>2001124</t>
  </si>
  <si>
    <t>Khoa Du lịch</t>
  </si>
  <si>
    <t>200112402</t>
  </si>
  <si>
    <t>Bộ môn Quản Trị Khách sạn</t>
  </si>
  <si>
    <t>200112403</t>
  </si>
  <si>
    <t>Bộ môn Quản Trị Nhà Hàng Và Dịch Vụ Ăn Uống</t>
  </si>
  <si>
    <t>200112501</t>
  </si>
  <si>
    <t>Bộ môn Công nghệ thực phẩm</t>
  </si>
  <si>
    <t>2001125</t>
  </si>
  <si>
    <t>Viện Khoa học Công nghệ ứng dụng</t>
  </si>
  <si>
    <t>200112502</t>
  </si>
  <si>
    <t>Bộ môn Nông nghiệp công nghệ cao</t>
  </si>
  <si>
    <t>200112601</t>
  </si>
  <si>
    <t>2001126</t>
  </si>
  <si>
    <t>Viện Ngôn ngữ</t>
  </si>
  <si>
    <t>200113301</t>
  </si>
  <si>
    <t>2001133</t>
  </si>
  <si>
    <t>Phòng Giáo dục Quốc phòng và An ninh</t>
  </si>
  <si>
    <t>2001135</t>
  </si>
  <si>
    <t>Trung tâm thể dục thể thao</t>
  </si>
  <si>
    <t>Cập nhật ngày 02 tháng 7 năm 2021 (Theo dữ liệu HRM cung cấp)</t>
  </si>
  <si>
    <t>71ENVH10012</t>
  </si>
  <si>
    <t>71ITMA10403</t>
  </si>
  <si>
    <t>71ITGR40203</t>
  </si>
  <si>
    <t>71ITGR40303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</si>
</sst>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5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sz val="13"/>
      <color theme="1"/>
      <name val="Times New Roman"/>
      <family val="2"/>
    </font>
    <font>
      <sz val="13"/>
      <name val="Times New Roman"/>
      <family val="2"/>
    </font>
    <font>
      <b/>
      <sz val="16"/>
      <color rgb="FFFF0000"/>
      <name val="Times New Roman"/>
      <family val="1"/>
    </font>
    <font>
      <sz val="8"/>
      <color theme="1"/>
      <name val="Times New Roman"/>
      <family val="2"/>
    </font>
    <font>
      <sz val="8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sz val="11"/>
      <color theme="8" tint="-0.499984740745262"/>
      <name val="Times New Roman"/>
      <family val="1"/>
    </font>
    <font>
      <b/>
      <sz val="11"/>
      <color theme="8" tint="-0.499984740745262"/>
      <name val="Times New Roman"/>
      <family val="1"/>
    </font>
    <font>
      <sz val="11"/>
      <color theme="5" tint="0.79998168889431442"/>
      <name val="Times New Roman"/>
      <family val="1"/>
    </font>
    <font>
      <b/>
      <sz val="13"/>
      <color rgb="FF0070C0"/>
      <name val="Times New Roman"/>
      <family val="1"/>
    </font>
    <font>
      <strike/>
      <sz val="11"/>
      <color theme="1"/>
      <name val="Times New Roman"/>
      <family val="1"/>
    </font>
    <font>
      <strike/>
      <sz val="13"/>
      <color theme="1"/>
      <name val="Times New Roman"/>
      <family val="1"/>
    </font>
    <font>
      <strike/>
      <sz val="11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 tint="-0.34998626667073579"/>
      <name val="Times New Roman"/>
      <family val="1"/>
    </font>
    <font>
      <sz val="13"/>
      <color theme="0" tint="-0.34998626667073579"/>
      <name val="Times New Roman"/>
      <family val="1"/>
    </font>
    <font>
      <sz val="13"/>
      <color theme="0" tint="-0.249977111117893"/>
      <name val="Times New Roman"/>
      <family val="1"/>
    </font>
    <font>
      <sz val="8"/>
      <color theme="0" tint="-0.249977111117893"/>
      <name val="Times New Roman"/>
      <family val="1"/>
    </font>
    <font>
      <strike/>
      <sz val="13"/>
      <color theme="0" tint="-0.249977111117893"/>
      <name val="Times New Roman"/>
      <family val="1"/>
    </font>
    <font>
      <sz val="13"/>
      <color theme="1"/>
      <name val="Times New Roman"/>
      <family val="1"/>
    </font>
    <font>
      <sz val="13"/>
      <color theme="0" tint="-0.249977111117893"/>
      <name val="Times New Roman"/>
      <family val="1"/>
    </font>
    <font>
      <b/>
      <sz val="13"/>
      <color theme="1"/>
      <name val="Times New Roman"/>
      <family val="1"/>
      <charset val="163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5">
    <xf numFmtId="0" fontId="0" fillId="0" borderId="0"/>
    <xf numFmtId="0" fontId="5" fillId="0" borderId="0"/>
    <xf numFmtId="0" fontId="13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193">
    <xf numFmtId="0" fontId="0" fillId="0" borderId="0" xfId="0"/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49" fontId="10" fillId="0" borderId="4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6" fillId="0" borderId="0" xfId="2" applyFont="1"/>
    <xf numFmtId="0" fontId="13" fillId="0" borderId="0" xfId="2"/>
    <xf numFmtId="0" fontId="14" fillId="0" borderId="0" xfId="2" applyFont="1"/>
    <xf numFmtId="0" fontId="13" fillId="0" borderId="0" xfId="2" applyAlignment="1">
      <alignment wrapText="1"/>
    </xf>
    <xf numFmtId="0" fontId="13" fillId="0" borderId="0" xfId="2" applyAlignment="1">
      <alignment horizontal="left" wrapText="1"/>
    </xf>
    <xf numFmtId="0" fontId="15" fillId="0" borderId="0" xfId="2" applyFont="1" applyAlignment="1">
      <alignment horizontal="center" vertical="center" wrapText="1"/>
    </xf>
    <xf numFmtId="0" fontId="16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0" xfId="2" applyFont="1" applyAlignment="1">
      <alignment horizontal="center" wrapText="1"/>
    </xf>
    <xf numFmtId="0" fontId="2" fillId="0" borderId="4" xfId="2" applyFont="1" applyBorder="1" applyAlignment="1">
      <alignment horizontal="center" vertical="center"/>
    </xf>
    <xf numFmtId="0" fontId="19" fillId="0" borderId="4" xfId="2" applyFont="1" applyBorder="1" applyAlignment="1">
      <alignment horizontal="center" vertical="center"/>
    </xf>
    <xf numFmtId="0" fontId="2" fillId="0" borderId="4" xfId="2" applyFont="1" applyBorder="1" applyAlignment="1">
      <alignment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vertical="center" wrapText="1"/>
    </xf>
    <xf numFmtId="0" fontId="3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center" vertical="center"/>
    </xf>
    <xf numFmtId="0" fontId="19" fillId="0" borderId="7" xfId="2" applyFont="1" applyBorder="1" applyAlignment="1">
      <alignment horizontal="center" vertical="center"/>
    </xf>
    <xf numFmtId="0" fontId="2" fillId="0" borderId="7" xfId="2" applyFont="1" applyBorder="1" applyAlignment="1">
      <alignment horizontal="left" vertical="center" wrapText="1"/>
    </xf>
    <xf numFmtId="0" fontId="15" fillId="0" borderId="0" xfId="2" applyFont="1" applyAlignment="1">
      <alignment vertical="center" wrapText="1"/>
    </xf>
    <xf numFmtId="0" fontId="15" fillId="0" borderId="0" xfId="2" applyFont="1" applyAlignment="1">
      <alignment horizontal="left" vertical="center"/>
    </xf>
    <xf numFmtId="0" fontId="2" fillId="0" borderId="9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3" fillId="0" borderId="9" xfId="2" applyFont="1" applyBorder="1" applyAlignment="1">
      <alignment vertical="center" wrapText="1"/>
    </xf>
    <xf numFmtId="0" fontId="3" fillId="0" borderId="9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left" vertical="center" wrapText="1"/>
    </xf>
    <xf numFmtId="0" fontId="20" fillId="2" borderId="4" xfId="2" applyFont="1" applyFill="1" applyBorder="1" applyAlignment="1">
      <alignment horizontal="center" vertical="center"/>
    </xf>
    <xf numFmtId="0" fontId="20" fillId="2" borderId="4" xfId="2" applyFont="1" applyFill="1" applyBorder="1" applyAlignment="1">
      <alignment vertical="center" wrapText="1"/>
    </xf>
    <xf numFmtId="0" fontId="20" fillId="2" borderId="4" xfId="2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left" vertical="center" wrapText="1"/>
    </xf>
    <xf numFmtId="0" fontId="21" fillId="2" borderId="4" xfId="2" applyFont="1" applyFill="1" applyBorder="1" applyAlignment="1">
      <alignment horizontal="left" vertical="center"/>
    </xf>
    <xf numFmtId="0" fontId="22" fillId="2" borderId="4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7" xfId="2" applyFont="1" applyBorder="1" applyAlignment="1">
      <alignment vertical="center" wrapText="1"/>
    </xf>
    <xf numFmtId="0" fontId="3" fillId="0" borderId="7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left" vertical="center" wrapText="1"/>
    </xf>
    <xf numFmtId="0" fontId="2" fillId="0" borderId="5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0" fontId="3" fillId="0" borderId="5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left" vertical="center" wrapText="1"/>
    </xf>
    <xf numFmtId="0" fontId="1" fillId="3" borderId="9" xfId="2" applyFont="1" applyFill="1" applyBorder="1" applyAlignment="1">
      <alignment horizontal="center" vertical="center"/>
    </xf>
    <xf numFmtId="0" fontId="25" fillId="0" borderId="0" xfId="2" applyFont="1"/>
    <xf numFmtId="0" fontId="24" fillId="0" borderId="7" xfId="2" applyFont="1" applyBorder="1" applyAlignment="1">
      <alignment horizontal="center" vertical="center"/>
    </xf>
    <xf numFmtId="0" fontId="26" fillId="0" borderId="7" xfId="2" applyFont="1" applyBorder="1" applyAlignment="1">
      <alignment horizontal="center" vertical="center"/>
    </xf>
    <xf numFmtId="0" fontId="26" fillId="0" borderId="7" xfId="2" applyFont="1" applyBorder="1" applyAlignment="1">
      <alignment vertical="center" wrapText="1"/>
    </xf>
    <xf numFmtId="0" fontId="26" fillId="0" borderId="7" xfId="2" applyFont="1" applyBorder="1" applyAlignment="1">
      <alignment horizontal="center" vertical="center" wrapText="1"/>
    </xf>
    <xf numFmtId="0" fontId="26" fillId="0" borderId="7" xfId="2" applyFont="1" applyBorder="1" applyAlignment="1">
      <alignment horizontal="left" vertical="center" wrapText="1"/>
    </xf>
    <xf numFmtId="0" fontId="13" fillId="0" borderId="4" xfId="2" applyBorder="1"/>
    <xf numFmtId="0" fontId="6" fillId="0" borderId="0" xfId="2" applyFont="1" applyAlignment="1">
      <alignment horizontal="left" wrapText="1"/>
    </xf>
    <xf numFmtId="0" fontId="3" fillId="2" borderId="4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left" vertical="center"/>
    </xf>
    <xf numFmtId="0" fontId="3" fillId="2" borderId="4" xfId="2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2" fillId="0" borderId="9" xfId="2" applyFont="1" applyBorder="1" applyAlignment="1">
      <alignment horizontal="center" vertical="center" wrapText="1"/>
    </xf>
    <xf numFmtId="0" fontId="13" fillId="0" borderId="9" xfId="2" applyBorder="1"/>
    <xf numFmtId="0" fontId="13" fillId="0" borderId="5" xfId="2" applyBorder="1"/>
    <xf numFmtId="0" fontId="13" fillId="0" borderId="3" xfId="2" applyBorder="1"/>
    <xf numFmtId="0" fontId="13" fillId="0" borderId="6" xfId="2" applyBorder="1"/>
    <xf numFmtId="0" fontId="13" fillId="0" borderId="13" xfId="2" applyBorder="1"/>
    <xf numFmtId="0" fontId="19" fillId="0" borderId="9" xfId="2" applyFont="1" applyBorder="1" applyAlignment="1">
      <alignment horizontal="center" vertical="center" wrapText="1"/>
    </xf>
    <xf numFmtId="0" fontId="19" fillId="0" borderId="9" xfId="2" applyFont="1" applyBorder="1" applyAlignment="1">
      <alignment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2" xfId="2" applyFont="1" applyBorder="1" applyAlignment="1">
      <alignment vertical="center" wrapText="1"/>
    </xf>
    <xf numFmtId="0" fontId="13" fillId="0" borderId="0" xfId="2" applyAlignment="1">
      <alignment horizontal="center"/>
    </xf>
    <xf numFmtId="0" fontId="23" fillId="4" borderId="0" xfId="2" applyFont="1" applyFill="1" applyAlignment="1">
      <alignment horizontal="center"/>
    </xf>
    <xf numFmtId="0" fontId="13" fillId="0" borderId="4" xfId="2" applyBorder="1" applyAlignment="1">
      <alignment horizontal="center"/>
    </xf>
    <xf numFmtId="0" fontId="13" fillId="0" borderId="9" xfId="2" applyBorder="1" applyAlignment="1">
      <alignment horizontal="center"/>
    </xf>
    <xf numFmtId="0" fontId="13" fillId="0" borderId="2" xfId="2" applyBorder="1" applyAlignment="1">
      <alignment horizontal="center"/>
    </xf>
    <xf numFmtId="0" fontId="13" fillId="0" borderId="7" xfId="2" applyBorder="1" applyAlignment="1">
      <alignment horizontal="center"/>
    </xf>
    <xf numFmtId="0" fontId="13" fillId="0" borderId="5" xfId="2" applyBorder="1" applyAlignment="1">
      <alignment horizontal="center"/>
    </xf>
    <xf numFmtId="0" fontId="6" fillId="0" borderId="0" xfId="2" applyFont="1" applyAlignment="1">
      <alignment horizontal="center"/>
    </xf>
    <xf numFmtId="0" fontId="23" fillId="0" borderId="0" xfId="2" applyFont="1"/>
    <xf numFmtId="0" fontId="13" fillId="0" borderId="17" xfId="2" applyBorder="1"/>
    <xf numFmtId="0" fontId="27" fillId="0" borderId="3" xfId="2" applyFont="1" applyBorder="1" applyAlignment="1">
      <alignment wrapText="1"/>
    </xf>
    <xf numFmtId="0" fontId="25" fillId="0" borderId="7" xfId="2" applyFont="1" applyBorder="1" applyAlignment="1">
      <alignment horizontal="center"/>
    </xf>
    <xf numFmtId="0" fontId="25" fillId="0" borderId="13" xfId="2" applyFont="1" applyBorder="1"/>
    <xf numFmtId="0" fontId="19" fillId="0" borderId="4" xfId="2" applyFont="1" applyBorder="1" applyAlignment="1">
      <alignment vertical="center" wrapText="1"/>
    </xf>
    <xf numFmtId="0" fontId="27" fillId="0" borderId="6" xfId="2" applyFont="1" applyBorder="1" applyAlignment="1">
      <alignment wrapText="1"/>
    </xf>
    <xf numFmtId="0" fontId="24" fillId="0" borderId="15" xfId="2" applyFont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0" fillId="0" borderId="2" xfId="2" applyFont="1" applyBorder="1" applyAlignment="1">
      <alignment vertical="center" wrapText="1"/>
    </xf>
    <xf numFmtId="0" fontId="30" fillId="0" borderId="2" xfId="2" applyFont="1" applyBorder="1" applyAlignment="1">
      <alignment horizontal="center" vertical="center" wrapText="1"/>
    </xf>
    <xf numFmtId="0" fontId="30" fillId="0" borderId="2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center"/>
    </xf>
    <xf numFmtId="0" fontId="31" fillId="0" borderId="4" xfId="2" applyFont="1" applyBorder="1"/>
    <xf numFmtId="0" fontId="30" fillId="0" borderId="4" xfId="2" applyFont="1" applyBorder="1" applyAlignment="1">
      <alignment horizontal="center" vertical="center"/>
    </xf>
    <xf numFmtId="0" fontId="30" fillId="0" borderId="4" xfId="2" applyFont="1" applyBorder="1" applyAlignment="1">
      <alignment vertical="center" wrapText="1"/>
    </xf>
    <xf numFmtId="0" fontId="30" fillId="0" borderId="4" xfId="2" applyFont="1" applyBorder="1" applyAlignment="1">
      <alignment horizontal="center" vertical="center" wrapText="1"/>
    </xf>
    <xf numFmtId="0" fontId="30" fillId="0" borderId="4" xfId="2" applyFont="1" applyBorder="1" applyAlignment="1">
      <alignment horizontal="left" vertical="center" wrapText="1"/>
    </xf>
    <xf numFmtId="0" fontId="30" fillId="0" borderId="7" xfId="2" applyFont="1" applyBorder="1" applyAlignment="1">
      <alignment horizontal="center" vertical="center"/>
    </xf>
    <xf numFmtId="0" fontId="30" fillId="0" borderId="7" xfId="2" applyFont="1" applyBorder="1" applyAlignment="1">
      <alignment vertical="center" wrapText="1"/>
    </xf>
    <xf numFmtId="0" fontId="30" fillId="0" borderId="7" xfId="2" applyFont="1" applyBorder="1" applyAlignment="1">
      <alignment horizontal="center" vertical="center" wrapText="1"/>
    </xf>
    <xf numFmtId="0" fontId="30" fillId="0" borderId="7" xfId="2" applyFont="1" applyBorder="1" applyAlignment="1">
      <alignment horizontal="left" vertical="center" wrapText="1"/>
    </xf>
    <xf numFmtId="0" fontId="30" fillId="0" borderId="5" xfId="2" applyFont="1" applyBorder="1" applyAlignment="1">
      <alignment horizontal="center" vertical="center"/>
    </xf>
    <xf numFmtId="0" fontId="30" fillId="0" borderId="5" xfId="2" applyFont="1" applyBorder="1" applyAlignment="1">
      <alignment vertical="center" wrapText="1"/>
    </xf>
    <xf numFmtId="0" fontId="30" fillId="0" borderId="5" xfId="2" applyFont="1" applyBorder="1" applyAlignment="1">
      <alignment horizontal="center" vertical="center" wrapText="1"/>
    </xf>
    <xf numFmtId="0" fontId="30" fillId="0" borderId="5" xfId="2" applyFont="1" applyBorder="1" applyAlignment="1">
      <alignment horizontal="left" vertical="center" wrapText="1"/>
    </xf>
    <xf numFmtId="0" fontId="30" fillId="0" borderId="9" xfId="2" applyFont="1" applyBorder="1" applyAlignment="1">
      <alignment horizontal="center" vertical="center"/>
    </xf>
    <xf numFmtId="0" fontId="30" fillId="0" borderId="9" xfId="2" applyFont="1" applyBorder="1" applyAlignment="1">
      <alignment vertical="center" wrapText="1"/>
    </xf>
    <xf numFmtId="0" fontId="30" fillId="0" borderId="9" xfId="2" applyFont="1" applyBorder="1" applyAlignment="1">
      <alignment horizontal="center" vertical="center" wrapText="1"/>
    </xf>
    <xf numFmtId="0" fontId="30" fillId="0" borderId="9" xfId="2" applyFont="1" applyBorder="1" applyAlignment="1">
      <alignment horizontal="left" vertical="center" wrapText="1"/>
    </xf>
    <xf numFmtId="0" fontId="13" fillId="2" borderId="4" xfId="2" applyFill="1" applyBorder="1" applyAlignment="1">
      <alignment horizontal="center"/>
    </xf>
    <xf numFmtId="0" fontId="13" fillId="2" borderId="6" xfId="2" applyFill="1" applyBorder="1"/>
    <xf numFmtId="0" fontId="13" fillId="2" borderId="4" xfId="2" applyFill="1" applyBorder="1"/>
    <xf numFmtId="0" fontId="19" fillId="0" borderId="4" xfId="2" applyFont="1" applyBorder="1" applyAlignment="1">
      <alignment horizontal="center" vertical="center" wrapText="1"/>
    </xf>
    <xf numFmtId="0" fontId="19" fillId="0" borderId="7" xfId="2" applyFont="1" applyBorder="1" applyAlignment="1">
      <alignment horizontal="center" vertical="center" wrapText="1"/>
    </xf>
    <xf numFmtId="0" fontId="19" fillId="0" borderId="7" xfId="2" applyFont="1" applyBorder="1" applyAlignment="1">
      <alignment vertical="center" wrapText="1"/>
    </xf>
    <xf numFmtId="0" fontId="2" fillId="0" borderId="7" xfId="2" applyFont="1" applyBorder="1" applyAlignment="1">
      <alignment horizontal="center" vertical="center" wrapText="1"/>
    </xf>
    <xf numFmtId="0" fontId="33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4" fillId="0" borderId="0" xfId="2" applyFont="1" applyAlignment="1">
      <alignment horizontal="center"/>
    </xf>
    <xf numFmtId="0" fontId="35" fillId="0" borderId="0" xfId="2" applyFont="1"/>
    <xf numFmtId="0" fontId="36" fillId="0" borderId="0" xfId="2" applyFont="1" applyAlignment="1">
      <alignment horizontal="center"/>
    </xf>
    <xf numFmtId="0" fontId="35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38" fillId="0" borderId="5" xfId="2" applyFont="1" applyBorder="1" applyAlignment="1">
      <alignment horizontal="center" vertical="center"/>
    </xf>
    <xf numFmtId="0" fontId="38" fillId="0" borderId="5" xfId="2" applyFont="1" applyBorder="1" applyAlignment="1">
      <alignment vertical="center" wrapText="1"/>
    </xf>
    <xf numFmtId="0" fontId="38" fillId="0" borderId="5" xfId="2" applyFont="1" applyBorder="1" applyAlignment="1">
      <alignment horizontal="center" vertical="center" wrapText="1"/>
    </xf>
    <xf numFmtId="0" fontId="38" fillId="0" borderId="5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center"/>
    </xf>
    <xf numFmtId="0" fontId="32" fillId="0" borderId="4" xfId="2" applyFont="1" applyBorder="1"/>
    <xf numFmtId="0" fontId="38" fillId="0" borderId="4" xfId="2" applyFont="1" applyBorder="1" applyAlignment="1">
      <alignment horizontal="center" vertical="center"/>
    </xf>
    <xf numFmtId="0" fontId="38" fillId="0" borderId="4" xfId="2" applyFont="1" applyBorder="1" applyAlignment="1">
      <alignment vertical="center" wrapText="1"/>
    </xf>
    <xf numFmtId="0" fontId="38" fillId="0" borderId="4" xfId="2" applyFont="1" applyBorder="1" applyAlignment="1">
      <alignment horizontal="center" vertical="center" wrapText="1"/>
    </xf>
    <xf numFmtId="0" fontId="38" fillId="0" borderId="4" xfId="2" applyFont="1" applyBorder="1" applyAlignment="1">
      <alignment horizontal="left" vertical="center" wrapText="1"/>
    </xf>
    <xf numFmtId="0" fontId="38" fillId="0" borderId="9" xfId="2" applyFont="1" applyBorder="1" applyAlignment="1">
      <alignment horizontal="center" vertical="center"/>
    </xf>
    <xf numFmtId="0" fontId="38" fillId="0" borderId="9" xfId="2" applyFont="1" applyBorder="1" applyAlignment="1">
      <alignment vertical="center" wrapText="1"/>
    </xf>
    <xf numFmtId="0" fontId="38" fillId="0" borderId="9" xfId="2" applyFont="1" applyBorder="1" applyAlignment="1">
      <alignment horizontal="center" vertical="center" wrapText="1"/>
    </xf>
    <xf numFmtId="0" fontId="38" fillId="0" borderId="9" xfId="2" applyFont="1" applyBorder="1" applyAlignment="1">
      <alignment horizontal="left" vertical="center" wrapText="1"/>
    </xf>
    <xf numFmtId="0" fontId="38" fillId="0" borderId="2" xfId="2" applyFont="1" applyBorder="1" applyAlignment="1">
      <alignment horizontal="center" vertical="center"/>
    </xf>
    <xf numFmtId="0" fontId="38" fillId="0" borderId="2" xfId="2" applyFont="1" applyBorder="1" applyAlignment="1">
      <alignment vertical="center" wrapText="1"/>
    </xf>
    <xf numFmtId="0" fontId="38" fillId="0" borderId="2" xfId="2" applyFont="1" applyBorder="1" applyAlignment="1">
      <alignment horizontal="center" vertical="center" wrapText="1"/>
    </xf>
    <xf numFmtId="0" fontId="38" fillId="0" borderId="2" xfId="2" applyFont="1" applyBorder="1" applyAlignment="1">
      <alignment horizontal="left" vertical="center" wrapText="1"/>
    </xf>
    <xf numFmtId="0" fontId="38" fillId="2" borderId="4" xfId="2" applyFont="1" applyFill="1" applyBorder="1" applyAlignment="1">
      <alignment horizontal="center" vertical="center"/>
    </xf>
    <xf numFmtId="0" fontId="39" fillId="2" borderId="4" xfId="2" applyFont="1" applyFill="1" applyBorder="1" applyAlignment="1">
      <alignment horizontal="left" vertical="center"/>
    </xf>
    <xf numFmtId="0" fontId="38" fillId="2" borderId="4" xfId="2" applyFont="1" applyFill="1" applyBorder="1" applyAlignment="1">
      <alignment vertical="center" wrapText="1"/>
    </xf>
    <xf numFmtId="0" fontId="38" fillId="2" borderId="4" xfId="2" applyFont="1" applyFill="1" applyBorder="1" applyAlignment="1">
      <alignment horizontal="center" vertical="center" wrapText="1"/>
    </xf>
    <xf numFmtId="0" fontId="38" fillId="2" borderId="4" xfId="2" applyFont="1" applyFill="1" applyBorder="1" applyAlignment="1">
      <alignment horizontal="left" vertical="center" wrapText="1"/>
    </xf>
    <xf numFmtId="0" fontId="32" fillId="2" borderId="4" xfId="2" applyFont="1" applyFill="1" applyBorder="1" applyAlignment="1">
      <alignment horizontal="center"/>
    </xf>
    <xf numFmtId="0" fontId="32" fillId="2" borderId="4" xfId="2" applyFont="1" applyFill="1" applyBorder="1"/>
    <xf numFmtId="0" fontId="32" fillId="0" borderId="9" xfId="2" applyFont="1" applyBorder="1" applyAlignment="1">
      <alignment horizontal="center"/>
    </xf>
    <xf numFmtId="0" fontId="32" fillId="0" borderId="9" xfId="2" applyFont="1" applyBorder="1"/>
    <xf numFmtId="0" fontId="1" fillId="3" borderId="1" xfId="2" applyFont="1" applyFill="1" applyBorder="1" applyAlignment="1">
      <alignment horizontal="center" vertical="center"/>
    </xf>
    <xf numFmtId="0" fontId="1" fillId="3" borderId="8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 wrapText="1"/>
    </xf>
    <xf numFmtId="0" fontId="1" fillId="3" borderId="9" xfId="2" applyFont="1" applyFill="1" applyBorder="1" applyAlignment="1">
      <alignment horizontal="center" vertical="center" wrapText="1"/>
    </xf>
    <xf numFmtId="0" fontId="18" fillId="3" borderId="2" xfId="2" applyFont="1" applyFill="1" applyBorder="1" applyAlignment="1">
      <alignment horizontal="center" vertical="center" wrapText="1"/>
    </xf>
    <xf numFmtId="0" fontId="18" fillId="3" borderId="9" xfId="2" applyFont="1" applyFill="1" applyBorder="1" applyAlignment="1">
      <alignment horizontal="center" vertical="center" wrapText="1"/>
    </xf>
    <xf numFmtId="0" fontId="1" fillId="3" borderId="3" xfId="2" applyFont="1" applyFill="1" applyBorder="1" applyAlignment="1">
      <alignment horizontal="center" vertical="center" wrapText="1"/>
    </xf>
    <xf numFmtId="0" fontId="1" fillId="3" borderId="6" xfId="2" applyFont="1" applyFill="1" applyBorder="1" applyAlignment="1">
      <alignment horizontal="center" vertical="center" wrapText="1"/>
    </xf>
    <xf numFmtId="0" fontId="1" fillId="3" borderId="2" xfId="2" applyFont="1" applyFill="1" applyBorder="1" applyAlignment="1">
      <alignment horizontal="left" vertical="center" wrapText="1"/>
    </xf>
    <xf numFmtId="0" fontId="1" fillId="3" borderId="9" xfId="2" applyFont="1" applyFill="1" applyBorder="1" applyAlignment="1">
      <alignment horizontal="left" vertical="center" wrapText="1"/>
    </xf>
    <xf numFmtId="0" fontId="1" fillId="3" borderId="16" xfId="2" applyFont="1" applyFill="1" applyBorder="1" applyAlignment="1">
      <alignment horizontal="center" vertical="center" wrapText="1"/>
    </xf>
    <xf numFmtId="0" fontId="1" fillId="3" borderId="14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38" fillId="0" borderId="11" xfId="2" applyFont="1" applyBorder="1" applyAlignment="1">
      <alignment horizontal="center" vertical="center" wrapText="1"/>
    </xf>
    <xf numFmtId="0" fontId="38" fillId="0" borderId="10" xfId="2" applyFont="1" applyBorder="1" applyAlignment="1">
      <alignment horizontal="center" vertical="center"/>
    </xf>
    <xf numFmtId="0" fontId="38" fillId="0" borderId="10" xfId="2" applyFont="1" applyBorder="1" applyAlignment="1">
      <alignment horizontal="center" vertical="center" wrapText="1"/>
    </xf>
    <xf numFmtId="0" fontId="13" fillId="0" borderId="0" xfId="2" applyAlignment="1">
      <alignment horizontal="center" vertical="center" wrapText="1"/>
    </xf>
    <xf numFmtId="0" fontId="37" fillId="0" borderId="0" xfId="2" applyFont="1" applyAlignment="1">
      <alignment horizont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</cellXfs>
  <cellStyles count="55">
    <cellStyle name="Followed Hyperlink" xfId="4" builtinId="9" hidden="1"/>
    <cellStyle name="Followed Hyperlink" xfId="8" builtinId="9" hidden="1"/>
    <cellStyle name="Followed Hyperlink" xfId="18" builtinId="9" hidden="1"/>
    <cellStyle name="Followed Hyperlink" xfId="52" builtinId="9" hidden="1"/>
    <cellStyle name="Followed Hyperlink" xfId="36" builtinId="9" hidden="1"/>
    <cellStyle name="Followed Hyperlink" xfId="38" builtinId="9" hidden="1"/>
    <cellStyle name="Followed Hyperlink" xfId="46" builtinId="9" hidden="1"/>
    <cellStyle name="Followed Hyperlink" xfId="50" builtinId="9" hidden="1"/>
    <cellStyle name="Followed Hyperlink" xfId="42" builtinId="9" hidden="1"/>
    <cellStyle name="Followed Hyperlink" xfId="34" builtinId="9" hidden="1"/>
    <cellStyle name="Followed Hyperlink" xfId="28" builtinId="9" hidden="1"/>
    <cellStyle name="Followed Hyperlink" xfId="26" builtinId="9" hidden="1"/>
    <cellStyle name="Followed Hyperlink" xfId="30" builtinId="9" hidden="1"/>
    <cellStyle name="Followed Hyperlink" xfId="44" builtinId="9" hidden="1"/>
    <cellStyle name="Followed Hyperlink" xfId="32" builtinId="9" hidden="1"/>
    <cellStyle name="Followed Hyperlink" xfId="6" builtinId="9" hidden="1"/>
    <cellStyle name="Followed Hyperlink" xfId="12" builtinId="9" hidden="1"/>
    <cellStyle name="Followed Hyperlink" xfId="14" builtinId="9" hidden="1"/>
    <cellStyle name="Followed Hyperlink" xfId="22" builtinId="9" hidden="1"/>
    <cellStyle name="Followed Hyperlink" xfId="16" builtinId="9" hidden="1"/>
    <cellStyle name="Followed Hyperlink" xfId="10" builtinId="9" hidden="1"/>
    <cellStyle name="Followed Hyperlink" xfId="20" builtinId="9" hidden="1"/>
    <cellStyle name="Followed Hyperlink" xfId="40" builtinId="9" hidden="1"/>
    <cellStyle name="Followed Hyperlink" xfId="24" builtinId="9" hidden="1"/>
    <cellStyle name="Followed Hyperlink" xfId="48" builtinId="9" hidden="1"/>
    <cellStyle name="Followed Hyperlink" xfId="54" builtinId="9" hidden="1"/>
    <cellStyle name="Hyperlink" xfId="27" builtinId="8" hidden="1"/>
    <cellStyle name="Hyperlink" xfId="53" builtinId="8" hidden="1"/>
    <cellStyle name="Hyperlink" xfId="49" builtinId="8" hidden="1"/>
    <cellStyle name="Hyperlink" xfId="45" builtinId="8" hidden="1"/>
    <cellStyle name="Hyperlink" xfId="51" builtinId="8" hidden="1"/>
    <cellStyle name="Hyperlink" xfId="39" builtinId="8" hidden="1"/>
    <cellStyle name="Hyperlink" xfId="43" builtinId="8" hidden="1"/>
    <cellStyle name="Hyperlink" xfId="31" builtinId="8" hidden="1"/>
    <cellStyle name="Hyperlink" xfId="11" builtinId="8" hidden="1"/>
    <cellStyle name="Hyperlink" xfId="13" builtinId="8" hidden="1"/>
    <cellStyle name="Hyperlink" xfId="17" builtinId="8" hidden="1"/>
    <cellStyle name="Hyperlink" xfId="41" builtinId="8" hidden="1"/>
    <cellStyle name="Hyperlink" xfId="47" builtinId="8" hidden="1"/>
    <cellStyle name="Hyperlink" xfId="21" builtinId="8" hidden="1"/>
    <cellStyle name="Hyperlink" xfId="23" builtinId="8" hidden="1"/>
    <cellStyle name="Hyperlink" xfId="25" builtinId="8" hidden="1"/>
    <cellStyle name="Hyperlink" xfId="15" builtinId="8" hidden="1"/>
    <cellStyle name="Hyperlink" xfId="7" builtinId="8" hidden="1"/>
    <cellStyle name="Hyperlink" xfId="29" builtinId="8" hidden="1"/>
    <cellStyle name="Hyperlink" xfId="33" builtinId="8" hidden="1"/>
    <cellStyle name="Hyperlink" xfId="35" builtinId="8" hidden="1"/>
    <cellStyle name="Hyperlink" xfId="37" builtinId="8" hidden="1"/>
    <cellStyle name="Hyperlink" xfId="5" builtinId="8" hidden="1"/>
    <cellStyle name="Hyperlink" xfId="3" builtinId="8" hidden="1"/>
    <cellStyle name="Hyperlink" xfId="9" builtinId="8" hidden="1"/>
    <cellStyle name="Hyperlink" xfId="19" builtinId="8" hidden="1"/>
    <cellStyle name="Normal" xfId="0" builtinId="0"/>
    <cellStyle name="Normal 2" xfId="1" xr:uid="{00000000-0005-0000-0000-000035000000}"/>
    <cellStyle name="Normal 3" xfId="2" xr:uid="{00000000-0005-0000-0000-000036000000}"/>
  </cellStyles>
  <dxfs count="2">
    <dxf>
      <fill>
        <patternFill>
          <bgColor rgb="FFFFC72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6D9"/>
      <color rgb="FFE3E9F5"/>
      <color rgb="FFFFFFAB"/>
      <color rgb="FFFDE7B1"/>
      <color rgb="FFFDE1A9"/>
      <color rgb="FFFDD7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adao05-my.sharepoint.com/personal/hoadao051_hoapro_io/Documents/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hung_CTĐT_CNTT_K30 (2024)"/>
      <sheetName val="Sheet1"/>
    </sheetNames>
    <sheetDataSet>
      <sheetData sheetId="0">
        <row r="10">
          <cell r="B10" t="str">
            <v>71LAWG10012</v>
          </cell>
          <cell r="C10" t="str">
            <v>Pháp luật đại cương</v>
          </cell>
          <cell r="D10" t="str">
            <v>General Law</v>
          </cell>
          <cell r="E10">
            <v>2</v>
          </cell>
          <cell r="F10">
            <v>30</v>
          </cell>
          <cell r="G10">
            <v>0</v>
          </cell>
          <cell r="H10">
            <v>0</v>
          </cell>
          <cell r="J10" t="str">
            <v>BB</v>
          </cell>
          <cell r="K10" t="str">
            <v>Không</v>
          </cell>
          <cell r="L10" t="str">
            <v xml:space="preserve">Không </v>
          </cell>
        </row>
        <row r="11">
          <cell r="B11" t="str">
            <v>71ENVH10012</v>
          </cell>
          <cell r="C11" t="str">
            <v>Môi trường và con người</v>
          </cell>
          <cell r="E11">
            <v>2</v>
          </cell>
          <cell r="F11">
            <v>30</v>
          </cell>
          <cell r="G11">
            <v>0</v>
          </cell>
          <cell r="H11">
            <v>0</v>
          </cell>
          <cell r="J11" t="str">
            <v>BB</v>
          </cell>
          <cell r="K11" t="str">
            <v>Không</v>
          </cell>
          <cell r="L11" t="str">
            <v xml:space="preserve">Không </v>
          </cell>
        </row>
        <row r="12">
          <cell r="B12" t="str">
            <v>71ITMA10104</v>
          </cell>
          <cell r="C12" t="str">
            <v>Toán cao cấp và ứng dụng</v>
          </cell>
          <cell r="D12" t="str">
            <v>Advanced Calculus</v>
          </cell>
          <cell r="E12">
            <v>4</v>
          </cell>
          <cell r="F12">
            <v>45</v>
          </cell>
          <cell r="G12">
            <v>30</v>
          </cell>
          <cell r="H12">
            <v>0</v>
          </cell>
          <cell r="J12" t="str">
            <v>BB</v>
          </cell>
          <cell r="K12" t="str">
            <v>Không</v>
          </cell>
          <cell r="L12" t="str">
            <v xml:space="preserve">Không </v>
          </cell>
        </row>
        <row r="13">
          <cell r="B13" t="str">
            <v>71MATL10053</v>
          </cell>
          <cell r="C13" t="str">
            <v>Đại số tuyến tính và ứng dụng</v>
          </cell>
          <cell r="D13" t="str">
            <v>Linear Algebra</v>
          </cell>
          <cell r="E13">
            <v>3</v>
          </cell>
          <cell r="F13">
            <v>30</v>
          </cell>
          <cell r="G13">
            <v>30</v>
          </cell>
          <cell r="H13">
            <v>0</v>
          </cell>
          <cell r="J13" t="str">
            <v>BB</v>
          </cell>
          <cell r="K13" t="str">
            <v>Không</v>
          </cell>
          <cell r="L13" t="str">
            <v xml:space="preserve">Không </v>
          </cell>
        </row>
        <row r="14">
          <cell r="B14" t="str">
            <v>71SSK110023</v>
          </cell>
          <cell r="C14" t="str">
            <v>Kỹ năng công dân toàn cầu</v>
          </cell>
          <cell r="E14">
            <v>3</v>
          </cell>
          <cell r="F14">
            <v>45</v>
          </cell>
          <cell r="G14">
            <v>0</v>
          </cell>
          <cell r="H14">
            <v>0</v>
          </cell>
          <cell r="J14" t="str">
            <v>BB</v>
          </cell>
          <cell r="K14" t="str">
            <v>Không</v>
          </cell>
          <cell r="L14" t="str">
            <v>Không</v>
          </cell>
        </row>
        <row r="15">
          <cell r="B15" t="str">
            <v>71POLP10013</v>
          </cell>
          <cell r="C15" t="str">
            <v>Triết học Mác-Lênin</v>
          </cell>
          <cell r="D15" t="str">
            <v>Philosophy of Marxism and Leninism</v>
          </cell>
          <cell r="E15">
            <v>3</v>
          </cell>
          <cell r="F15">
            <v>45</v>
          </cell>
          <cell r="G15">
            <v>0</v>
          </cell>
          <cell r="H15">
            <v>0</v>
          </cell>
          <cell r="J15" t="str">
            <v>BB</v>
          </cell>
          <cell r="K15" t="str">
            <v>Không</v>
          </cell>
          <cell r="L15" t="str">
            <v>Không</v>
          </cell>
        </row>
        <row r="16">
          <cell r="B16" t="str">
            <v>71POLE10022</v>
          </cell>
          <cell r="C16" t="str">
            <v>Kinh tế chính trị Mác-Lênin</v>
          </cell>
          <cell r="D16" t="str">
            <v>Marxist – Leninist Political Economy</v>
          </cell>
          <cell r="E16">
            <v>2</v>
          </cell>
          <cell r="F16">
            <v>30</v>
          </cell>
          <cell r="G16">
            <v>0</v>
          </cell>
          <cell r="H16">
            <v>0</v>
          </cell>
          <cell r="J16" t="str">
            <v>BB</v>
          </cell>
          <cell r="K16" t="str">
            <v>Không</v>
          </cell>
          <cell r="L16" t="str">
            <v>[71POLP10013]Triết học Mác-Lênin</v>
          </cell>
        </row>
        <row r="17">
          <cell r="B17" t="str">
            <v>71POLS10032</v>
          </cell>
          <cell r="C17" t="str">
            <v>Chủ nghĩa xã hội khoa học</v>
          </cell>
          <cell r="D17" t="str">
            <v>Scientific Socialism</v>
          </cell>
          <cell r="E17">
            <v>2</v>
          </cell>
          <cell r="F17">
            <v>30</v>
          </cell>
          <cell r="G17">
            <v>0</v>
          </cell>
          <cell r="H17">
            <v>0</v>
          </cell>
          <cell r="J17" t="str">
            <v>BB</v>
          </cell>
          <cell r="K17" t="str">
            <v>Không</v>
          </cell>
          <cell r="L17" t="str">
            <v>[71POLP10013]Triết học Mác-Lênin</v>
          </cell>
        </row>
        <row r="18">
          <cell r="B18" t="str">
            <v>71POLH10042</v>
          </cell>
          <cell r="C18" t="str">
            <v>Tư tưởng Hồ Chí Minh</v>
          </cell>
          <cell r="D18" t="str">
            <v>Ho Chi Minh's Thought</v>
          </cell>
          <cell r="E18">
            <v>2</v>
          </cell>
          <cell r="F18">
            <v>30</v>
          </cell>
          <cell r="G18">
            <v>0</v>
          </cell>
          <cell r="H18">
            <v>0</v>
          </cell>
          <cell r="J18" t="str">
            <v>BB</v>
          </cell>
          <cell r="K18" t="str">
            <v>Không</v>
          </cell>
          <cell r="L18" t="str">
            <v>[71POLE10022]Kinh tế chính trị Mác-Lênin, [71POLS10032]Chủ nghĩa xã hội khoa học</v>
          </cell>
        </row>
        <row r="19">
          <cell r="B19" t="str">
            <v>71POLC10052</v>
          </cell>
          <cell r="C19" t="str">
            <v>Lịch sử Đảng Cộng sản Việt Nam</v>
          </cell>
          <cell r="D19" t="str">
            <v>History of Vietnamese Communist Party</v>
          </cell>
          <cell r="E19">
            <v>2</v>
          </cell>
          <cell r="F19">
            <v>30</v>
          </cell>
          <cell r="G19">
            <v>0</v>
          </cell>
          <cell r="H19">
            <v>0</v>
          </cell>
          <cell r="J19" t="str">
            <v>BB</v>
          </cell>
          <cell r="K19" t="str">
            <v>Không</v>
          </cell>
          <cell r="L19" t="str">
            <v>[71POLE10022]Kinh tế chính trị Mác-Lênin, [71POLS10032]Chủ nghĩa xã hội khoa học</v>
          </cell>
        </row>
        <row r="20">
          <cell r="B20" t="str">
            <v>71ENG110013</v>
          </cell>
          <cell r="C20" t="str">
            <v>Anh văn 1 (AV1)</v>
          </cell>
          <cell r="D20" t="str">
            <v>English 1</v>
          </cell>
          <cell r="E20">
            <v>3</v>
          </cell>
          <cell r="F20">
            <v>30</v>
          </cell>
          <cell r="G20">
            <v>30</v>
          </cell>
          <cell r="H20">
            <v>0</v>
          </cell>
          <cell r="J20" t="str">
            <v>BB</v>
          </cell>
          <cell r="K20" t="str">
            <v>[71ENG010012]Anh văn dự bị (AV0)</v>
          </cell>
          <cell r="L20" t="str">
            <v xml:space="preserve">Không </v>
          </cell>
        </row>
        <row r="21">
          <cell r="B21" t="str">
            <v>71ENG210023</v>
          </cell>
          <cell r="C21" t="str">
            <v>Anh văn 2 (AV2)</v>
          </cell>
          <cell r="D21" t="str">
            <v>English 2</v>
          </cell>
          <cell r="E21">
            <v>3</v>
          </cell>
          <cell r="F21">
            <v>30</v>
          </cell>
          <cell r="G21">
            <v>30</v>
          </cell>
          <cell r="H21">
            <v>0</v>
          </cell>
          <cell r="J21" t="str">
            <v>BB</v>
          </cell>
          <cell r="K21" t="str">
            <v>[71ENG110013]Anh văn 1 (AV1)</v>
          </cell>
          <cell r="L21" t="str">
            <v xml:space="preserve">Không </v>
          </cell>
        </row>
        <row r="22">
          <cell r="B22" t="str">
            <v>71ENG310033</v>
          </cell>
          <cell r="C22" t="str">
            <v>Anh văn 3 (AV3)</v>
          </cell>
          <cell r="D22" t="str">
            <v>English 3</v>
          </cell>
          <cell r="E22">
            <v>3</v>
          </cell>
          <cell r="F22">
            <v>30</v>
          </cell>
          <cell r="G22">
            <v>30</v>
          </cell>
          <cell r="H22">
            <v>0</v>
          </cell>
          <cell r="J22" t="str">
            <v>BB</v>
          </cell>
          <cell r="K22" t="str">
            <v>[71ENG210023]Anh văn 2 (AV2)</v>
          </cell>
          <cell r="L22" t="str">
            <v xml:space="preserve">Không </v>
          </cell>
        </row>
        <row r="23">
          <cell r="B23" t="str">
            <v>71ENG410043</v>
          </cell>
          <cell r="C23" t="str">
            <v>Anh văn 4 (AV4)</v>
          </cell>
          <cell r="D23" t="str">
            <v>English 4</v>
          </cell>
          <cell r="E23">
            <v>3</v>
          </cell>
          <cell r="F23">
            <v>30</v>
          </cell>
          <cell r="G23">
            <v>30</v>
          </cell>
          <cell r="H23">
            <v>0</v>
          </cell>
          <cell r="J23" t="str">
            <v>BB</v>
          </cell>
          <cell r="K23" t="str">
            <v>[71ENG310033]Anh văn 3 (AV3)</v>
          </cell>
          <cell r="L23" t="str">
            <v xml:space="preserve">Không </v>
          </cell>
        </row>
        <row r="24">
          <cell r="B24" t="str">
            <v>71ENG510053</v>
          </cell>
          <cell r="C24" t="str">
            <v>Anh văn 5 (AV5)</v>
          </cell>
          <cell r="D24" t="str">
            <v>English 5</v>
          </cell>
          <cell r="E24">
            <v>3</v>
          </cell>
          <cell r="F24">
            <v>30</v>
          </cell>
          <cell r="G24">
            <v>30</v>
          </cell>
          <cell r="H24">
            <v>0</v>
          </cell>
          <cell r="J24" t="str">
            <v>BB</v>
          </cell>
          <cell r="K24" t="str">
            <v>[71ENG410043]Anh văn 4 (AV4)</v>
          </cell>
          <cell r="L24" t="str">
            <v xml:space="preserve">Không </v>
          </cell>
        </row>
        <row r="25">
          <cell r="B25" t="str">
            <v>71ENG610063</v>
          </cell>
          <cell r="C25" t="str">
            <v>Anh văn 6 (AV6)</v>
          </cell>
          <cell r="D25" t="str">
            <v>English 6</v>
          </cell>
          <cell r="E25">
            <v>3</v>
          </cell>
          <cell r="F25">
            <v>45</v>
          </cell>
          <cell r="G25">
            <v>0</v>
          </cell>
          <cell r="H25">
            <v>0</v>
          </cell>
          <cell r="J25" t="str">
            <v>BB</v>
          </cell>
          <cell r="K25" t="str">
            <v>[71ENG510053]Anh văn 5 (AV5)</v>
          </cell>
          <cell r="L25" t="str">
            <v xml:space="preserve">Không </v>
          </cell>
        </row>
        <row r="26">
          <cell r="B26" t="str">
            <v>71ENG710073</v>
          </cell>
          <cell r="C26" t="str">
            <v>Anh văn 7 (AV7)</v>
          </cell>
          <cell r="D26" t="str">
            <v>English 7</v>
          </cell>
          <cell r="E26">
            <v>3</v>
          </cell>
          <cell r="F26">
            <v>45</v>
          </cell>
          <cell r="G26">
            <v>0</v>
          </cell>
          <cell r="H26">
            <v>0</v>
          </cell>
          <cell r="J26" t="str">
            <v>BB</v>
          </cell>
          <cell r="K26" t="str">
            <v>[71ENG610063]Anh văn 6 (AV6)</v>
          </cell>
          <cell r="L26" t="str">
            <v xml:space="preserve">Không </v>
          </cell>
        </row>
        <row r="27">
          <cell r="B27" t="str">
            <v>71PEKC10062</v>
          </cell>
          <cell r="C27" t="str">
            <v>Cờ vua</v>
          </cell>
          <cell r="E27">
            <v>2</v>
          </cell>
          <cell r="F27">
            <v>45</v>
          </cell>
          <cell r="G27">
            <v>60</v>
          </cell>
          <cell r="H27">
            <v>0</v>
          </cell>
          <cell r="J27" t="str">
            <v>TC002 (2TC)</v>
          </cell>
          <cell r="K27" t="str">
            <v>Không</v>
          </cell>
          <cell r="L27" t="str">
            <v>Không</v>
          </cell>
        </row>
        <row r="28">
          <cell r="B28" t="str">
            <v>71PESW10042</v>
          </cell>
          <cell r="C28" t="str">
            <v>Bơi lội</v>
          </cell>
          <cell r="E28">
            <v>2</v>
          </cell>
          <cell r="F28">
            <v>45</v>
          </cell>
          <cell r="G28">
            <v>60</v>
          </cell>
          <cell r="H28">
            <v>0</v>
          </cell>
          <cell r="J28" t="str">
            <v>TC002 (2TC)</v>
          </cell>
          <cell r="K28" t="str">
            <v>Không</v>
          </cell>
          <cell r="L28" t="str">
            <v>Không</v>
          </cell>
        </row>
        <row r="29">
          <cell r="B29" t="str">
            <v>71PEYO10142</v>
          </cell>
          <cell r="C29" t="str">
            <v>Hatha yoga</v>
          </cell>
          <cell r="E29">
            <v>2</v>
          </cell>
          <cell r="F29">
            <v>45</v>
          </cell>
          <cell r="G29">
            <v>8</v>
          </cell>
          <cell r="H29">
            <v>0</v>
          </cell>
          <cell r="J29" t="str">
            <v>TC002 (2TC)</v>
          </cell>
          <cell r="K29" t="str">
            <v>Không</v>
          </cell>
          <cell r="L29" t="str">
            <v>Không</v>
          </cell>
        </row>
        <row r="30">
          <cell r="B30" t="str">
            <v>71PEKC10172</v>
          </cell>
          <cell r="C30" t="str">
            <v>Cờ vua nâng cao</v>
          </cell>
          <cell r="E30">
            <v>2</v>
          </cell>
          <cell r="F30">
            <v>45</v>
          </cell>
          <cell r="G30">
            <v>8</v>
          </cell>
          <cell r="H30">
            <v>0</v>
          </cell>
          <cell r="J30" t="str">
            <v>TC102 (2TC)</v>
          </cell>
          <cell r="K30" t="str">
            <v>Không</v>
          </cell>
          <cell r="L30" t="str">
            <v>[71PEKC10062]Cờ vua</v>
          </cell>
        </row>
        <row r="31">
          <cell r="B31" t="str">
            <v>71PEBA10052</v>
          </cell>
          <cell r="C31" t="str">
            <v>Cầu lông</v>
          </cell>
          <cell r="E31">
            <v>2</v>
          </cell>
          <cell r="F31">
            <v>45</v>
          </cell>
          <cell r="G31">
            <v>16</v>
          </cell>
          <cell r="H31">
            <v>0</v>
          </cell>
          <cell r="J31" t="str">
            <v>TC102 (2TC)</v>
          </cell>
          <cell r="K31" t="str">
            <v>Không</v>
          </cell>
          <cell r="L31" t="str">
            <v>Không</v>
          </cell>
        </row>
        <row r="32">
          <cell r="B32" t="str">
            <v>71PEBB10032</v>
          </cell>
          <cell r="C32" t="str">
            <v>Bóng rổ</v>
          </cell>
          <cell r="E32">
            <v>2</v>
          </cell>
          <cell r="F32">
            <v>45</v>
          </cell>
          <cell r="J32" t="str">
            <v>TC102 (2TC)</v>
          </cell>
          <cell r="K32" t="str">
            <v>Không</v>
          </cell>
          <cell r="L32" t="str">
            <v>Không</v>
          </cell>
        </row>
        <row r="33">
          <cell r="B33" t="str">
            <v>71PEDA10102</v>
          </cell>
          <cell r="C33" t="str">
            <v>Khiêu vũ</v>
          </cell>
          <cell r="E33">
            <v>2</v>
          </cell>
          <cell r="F33">
            <v>45</v>
          </cell>
          <cell r="J33" t="str">
            <v>TC102 (2TC)</v>
          </cell>
          <cell r="K33" t="str">
            <v>Không</v>
          </cell>
          <cell r="L33" t="str">
            <v>Không</v>
          </cell>
        </row>
        <row r="34">
          <cell r="B34" t="str">
            <v>71PEFI10072</v>
          </cell>
          <cell r="C34" t="str">
            <v>Fitness</v>
          </cell>
          <cell r="E34">
            <v>2</v>
          </cell>
          <cell r="F34">
            <v>45</v>
          </cell>
          <cell r="J34" t="str">
            <v>TC102 (2TC)</v>
          </cell>
          <cell r="K34" t="str">
            <v>Không</v>
          </cell>
          <cell r="L34" t="str">
            <v>Không</v>
          </cell>
        </row>
        <row r="35">
          <cell r="B35" t="str">
            <v>71PEFU10082</v>
          </cell>
          <cell r="C35" t="str">
            <v>Futsal</v>
          </cell>
          <cell r="E35">
            <v>2</v>
          </cell>
          <cell r="F35">
            <v>45</v>
          </cell>
          <cell r="J35" t="str">
            <v>TC102 (2TC)</v>
          </cell>
          <cell r="K35" t="str">
            <v>Không</v>
          </cell>
          <cell r="L35" t="str">
            <v>Không</v>
          </cell>
        </row>
        <row r="36">
          <cell r="B36" t="str">
            <v>71PEGO10092</v>
          </cell>
          <cell r="C36" t="str">
            <v>Golf</v>
          </cell>
          <cell r="E36">
            <v>2</v>
          </cell>
          <cell r="F36">
            <v>45</v>
          </cell>
          <cell r="J36" t="str">
            <v>TC102 (2TC)</v>
          </cell>
          <cell r="K36" t="str">
            <v>Không</v>
          </cell>
          <cell r="L36" t="str">
            <v>Không</v>
          </cell>
        </row>
        <row r="37">
          <cell r="B37" t="str">
            <v>71PEMA10132</v>
          </cell>
          <cell r="C37" t="str">
            <v>Võ thuật</v>
          </cell>
          <cell r="E37">
            <v>2</v>
          </cell>
          <cell r="F37">
            <v>45</v>
          </cell>
          <cell r="J37" t="str">
            <v>TC102 (2TC)</v>
          </cell>
          <cell r="K37" t="str">
            <v>Không</v>
          </cell>
          <cell r="L37" t="str">
            <v>Không</v>
          </cell>
        </row>
        <row r="38">
          <cell r="B38" t="str">
            <v>71PEMT10152</v>
          </cell>
          <cell r="C38" t="str">
            <v>Marathon</v>
          </cell>
          <cell r="E38">
            <v>2</v>
          </cell>
          <cell r="F38">
            <v>45</v>
          </cell>
          <cell r="J38" t="str">
            <v>TC102 (2TC)</v>
          </cell>
          <cell r="K38" t="str">
            <v>Không</v>
          </cell>
          <cell r="L38" t="str">
            <v>Không</v>
          </cell>
        </row>
        <row r="39">
          <cell r="B39" t="str">
            <v>71PESC10112</v>
          </cell>
          <cell r="C39" t="str">
            <v>Leo núi thể thao</v>
          </cell>
          <cell r="E39">
            <v>2</v>
          </cell>
          <cell r="F39">
            <v>45</v>
          </cell>
          <cell r="J39" t="str">
            <v>TC102 (2TC)</v>
          </cell>
          <cell r="K39" t="str">
            <v>Không</v>
          </cell>
          <cell r="L39" t="str">
            <v>Không</v>
          </cell>
        </row>
        <row r="40">
          <cell r="B40" t="str">
            <v>71PESS10162</v>
          </cell>
          <cell r="C40" t="str">
            <v>Bắn súng thể thao</v>
          </cell>
          <cell r="E40">
            <v>2</v>
          </cell>
          <cell r="F40">
            <v>45</v>
          </cell>
          <cell r="J40" t="str">
            <v>TC102 (2TC)</v>
          </cell>
          <cell r="K40" t="str">
            <v>Không</v>
          </cell>
          <cell r="L40" t="str">
            <v>Không</v>
          </cell>
        </row>
        <row r="41">
          <cell r="B41" t="str">
            <v>71PETE10122</v>
          </cell>
          <cell r="C41" t="str">
            <v>Tennis</v>
          </cell>
          <cell r="E41">
            <v>2</v>
          </cell>
          <cell r="F41">
            <v>45</v>
          </cell>
          <cell r="J41" t="str">
            <v>TC102 (2TC)</v>
          </cell>
          <cell r="K41" t="str">
            <v>Không</v>
          </cell>
          <cell r="L41" t="str">
            <v>Không</v>
          </cell>
        </row>
        <row r="42">
          <cell r="B42" t="str">
            <v>71PETT10012</v>
          </cell>
          <cell r="C42" t="str">
            <v>Bóng bàn</v>
          </cell>
          <cell r="E42">
            <v>2</v>
          </cell>
          <cell r="F42">
            <v>45</v>
          </cell>
          <cell r="J42" t="str">
            <v>TC102 (2TC)</v>
          </cell>
          <cell r="K42" t="str">
            <v>Không</v>
          </cell>
          <cell r="L42" t="str">
            <v>Không</v>
          </cell>
        </row>
        <row r="43">
          <cell r="B43" t="str">
            <v>71PEVB10022</v>
          </cell>
          <cell r="C43" t="str">
            <v>Bóng chuyền</v>
          </cell>
          <cell r="E43">
            <v>2</v>
          </cell>
          <cell r="F43">
            <v>45</v>
          </cell>
          <cell r="J43" t="str">
            <v>TC102 (2TC)</v>
          </cell>
          <cell r="K43" t="str">
            <v>Không</v>
          </cell>
          <cell r="L43" t="str">
            <v>Không</v>
          </cell>
        </row>
        <row r="44">
          <cell r="B44" t="str">
            <v>71NAD110013</v>
          </cell>
          <cell r="C44" t="str">
            <v>GDQP1: Đường lối QP và AN của ĐCSVN</v>
          </cell>
          <cell r="E44">
            <v>3</v>
          </cell>
          <cell r="J44" t="str">
            <v>BB</v>
          </cell>
          <cell r="K44" t="str">
            <v/>
          </cell>
          <cell r="L44" t="str">
            <v/>
          </cell>
        </row>
        <row r="45">
          <cell r="B45" t="str">
            <v>71NAD210022</v>
          </cell>
          <cell r="C45" t="str">
            <v>GDQP2: Công tác quốc phòng và an ninh</v>
          </cell>
          <cell r="E45">
            <v>2</v>
          </cell>
          <cell r="J45" t="str">
            <v>BB</v>
          </cell>
          <cell r="K45" t="str">
            <v/>
          </cell>
          <cell r="L45" t="str">
            <v/>
          </cell>
        </row>
        <row r="46">
          <cell r="B46" t="str">
            <v>71NAD310032</v>
          </cell>
          <cell r="C46" t="str">
            <v>GDQP3: Quân sự chung</v>
          </cell>
          <cell r="E46">
            <v>2</v>
          </cell>
          <cell r="J46" t="str">
            <v>BB</v>
          </cell>
          <cell r="K46" t="str">
            <v/>
          </cell>
          <cell r="L46" t="str">
            <v/>
          </cell>
        </row>
        <row r="47">
          <cell r="B47" t="str">
            <v>71NAD410044</v>
          </cell>
          <cell r="C47" t="str">
            <v>GDQP4: Kỹ thuật chiến đấu bộ binh và chiến thuật</v>
          </cell>
          <cell r="E47">
            <v>4</v>
          </cell>
          <cell r="J47" t="str">
            <v>BB</v>
          </cell>
          <cell r="K47" t="str">
            <v/>
          </cell>
          <cell r="L47" t="str">
            <v/>
          </cell>
        </row>
        <row r="48">
          <cell r="B48" t="str">
            <v>71ITBS10103</v>
          </cell>
          <cell r="C48" t="str">
            <v xml:space="preserve">Nhập môn Công nghệ thông tin </v>
          </cell>
          <cell r="D48" t="str">
            <v>Introduction to Information Technology</v>
          </cell>
          <cell r="E48">
            <v>3</v>
          </cell>
          <cell r="F48">
            <v>30</v>
          </cell>
          <cell r="G48">
            <v>30</v>
          </cell>
          <cell r="H48">
            <v>0</v>
          </cell>
          <cell r="I48">
            <v>0</v>
          </cell>
          <cell r="J48" t="str">
            <v>BB</v>
          </cell>
          <cell r="K48" t="str">
            <v>Không</v>
          </cell>
          <cell r="L48" t="str">
            <v>Không</v>
          </cell>
        </row>
        <row r="49">
          <cell r="B49" t="str">
            <v>71ITBS10203</v>
          </cell>
          <cell r="C49" t="str">
            <v xml:space="preserve">Cơ sở lập trình </v>
          </cell>
          <cell r="D49" t="str">
            <v>Programming Basics</v>
          </cell>
          <cell r="E49">
            <v>3</v>
          </cell>
          <cell r="F49">
            <v>30</v>
          </cell>
          <cell r="G49">
            <v>30</v>
          </cell>
          <cell r="H49">
            <v>0</v>
          </cell>
          <cell r="I49">
            <v>0</v>
          </cell>
          <cell r="J49" t="str">
            <v>BB</v>
          </cell>
          <cell r="K49" t="str">
            <v>Không</v>
          </cell>
          <cell r="L49" t="str">
            <v>Không</v>
          </cell>
        </row>
        <row r="50">
          <cell r="B50" t="str">
            <v>71ITIS30103</v>
          </cell>
          <cell r="C50" t="str">
            <v xml:space="preserve">Cơ sở dữ liệu </v>
          </cell>
          <cell r="D50" t="str">
            <v>Databases</v>
          </cell>
          <cell r="E50">
            <v>3</v>
          </cell>
          <cell r="F50">
            <v>30</v>
          </cell>
          <cell r="G50">
            <v>30</v>
          </cell>
          <cell r="H50">
            <v>0</v>
          </cell>
          <cell r="I50">
            <v>0</v>
          </cell>
          <cell r="J50" t="str">
            <v>BB</v>
          </cell>
          <cell r="K50" t="str">
            <v>Không</v>
          </cell>
          <cell r="L50" t="str">
            <v>Không</v>
          </cell>
        </row>
        <row r="51">
          <cell r="B51" t="str">
            <v>71ITNW30103</v>
          </cell>
          <cell r="C51" t="str">
            <v xml:space="preserve">Nhập môn Mạng máy tính và điện toán đám mây </v>
          </cell>
          <cell r="D51" t="str">
            <v>Introduction to Computer Networks and Cloud Computing</v>
          </cell>
          <cell r="E51">
            <v>3</v>
          </cell>
          <cell r="F51">
            <v>30</v>
          </cell>
          <cell r="G51">
            <v>30</v>
          </cell>
          <cell r="H51">
            <v>0</v>
          </cell>
          <cell r="I51">
            <v>0</v>
          </cell>
          <cell r="J51" t="str">
            <v>BB</v>
          </cell>
          <cell r="K51" t="str">
            <v>Không</v>
          </cell>
          <cell r="L51" t="str">
            <v>Không</v>
          </cell>
        </row>
        <row r="52">
          <cell r="B52" t="str">
            <v>71ITSE30303</v>
          </cell>
          <cell r="C52" t="str">
            <v xml:space="preserve">Cấu trúc dữ liệu và giải thuật </v>
          </cell>
          <cell r="D52" t="str">
            <v>Data Structures and Algorithms</v>
          </cell>
          <cell r="E52">
            <v>3</v>
          </cell>
          <cell r="F52">
            <v>30</v>
          </cell>
          <cell r="G52">
            <v>30</v>
          </cell>
          <cell r="H52">
            <v>0</v>
          </cell>
          <cell r="I52">
            <v>0</v>
          </cell>
          <cell r="J52" t="str">
            <v>BB</v>
          </cell>
          <cell r="K52" t="str">
            <v>Không</v>
          </cell>
          <cell r="L52" t="str">
            <v>[71ITBS10203]Cơ sở lập trình</v>
          </cell>
        </row>
        <row r="53">
          <cell r="B53" t="str">
            <v>71ITMA10403</v>
          </cell>
          <cell r="C53" t="str">
            <v xml:space="preserve">Toán rời rạc </v>
          </cell>
          <cell r="D53" t="str">
            <v>Discrete Mathematics</v>
          </cell>
          <cell r="E53">
            <v>4</v>
          </cell>
          <cell r="F53">
            <v>45</v>
          </cell>
          <cell r="G53">
            <v>30</v>
          </cell>
          <cell r="H53">
            <v>0</v>
          </cell>
          <cell r="I53">
            <v>0</v>
          </cell>
          <cell r="J53" t="str">
            <v>BB</v>
          </cell>
          <cell r="K53" t="str">
            <v>Không</v>
          </cell>
          <cell r="L53" t="str">
            <v>[71ITMA10104]Toán cao cấp và ứng dụng</v>
          </cell>
        </row>
        <row r="54">
          <cell r="B54" t="str">
            <v>71ITSE30103</v>
          </cell>
          <cell r="C54" t="str">
            <v xml:space="preserve">Kỹ thuật lập trình </v>
          </cell>
          <cell r="D54" t="str">
            <v>Programming Techniques</v>
          </cell>
          <cell r="E54">
            <v>3</v>
          </cell>
          <cell r="F54">
            <v>30</v>
          </cell>
          <cell r="G54">
            <v>30</v>
          </cell>
          <cell r="H54">
            <v>0</v>
          </cell>
          <cell r="I54">
            <v>0</v>
          </cell>
          <cell r="J54" t="str">
            <v>BB</v>
          </cell>
          <cell r="K54" t="str">
            <v>Không</v>
          </cell>
          <cell r="L54" t="str">
            <v>[71ITBS10203]Cơ sở lập trình</v>
          </cell>
        </row>
        <row r="55">
          <cell r="B55" t="str">
            <v>71ITSE30203</v>
          </cell>
          <cell r="C55" t="str">
            <v xml:space="preserve">Lập trình hướng đối tượng </v>
          </cell>
          <cell r="D55" t="str">
            <v>Object-Oriented Programming</v>
          </cell>
          <cell r="E55">
            <v>3</v>
          </cell>
          <cell r="F55">
            <v>30</v>
          </cell>
          <cell r="G55">
            <v>30</v>
          </cell>
          <cell r="H55">
            <v>0</v>
          </cell>
          <cell r="I55">
            <v>0</v>
          </cell>
          <cell r="J55" t="str">
            <v>BB</v>
          </cell>
          <cell r="K55" t="str">
            <v>Không</v>
          </cell>
          <cell r="L55" t="str">
            <v>[71ITBS10203]Cơ sở lập trình</v>
          </cell>
        </row>
        <row r="56">
          <cell r="B56" t="str">
            <v>71ITDS30103</v>
          </cell>
          <cell r="C56" t="str">
            <v>Các nền tảng phát triển phần mềm</v>
          </cell>
          <cell r="D56" t="str">
            <v>Software Development Platforms</v>
          </cell>
          <cell r="E56">
            <v>3</v>
          </cell>
          <cell r="F56">
            <v>30</v>
          </cell>
          <cell r="G56">
            <v>30</v>
          </cell>
          <cell r="H56">
            <v>0</v>
          </cell>
          <cell r="I56">
            <v>0</v>
          </cell>
          <cell r="J56" t="str">
            <v>BB</v>
          </cell>
          <cell r="K56" t="str">
            <v>Không</v>
          </cell>
          <cell r="L56" t="str">
            <v>[71ITBS10103]Nhập môn công nghệ thông tin</v>
          </cell>
        </row>
        <row r="57">
          <cell r="B57" t="str">
            <v>71ITSE30503</v>
          </cell>
          <cell r="C57" t="str">
            <v xml:space="preserve">Lập trình ứng dụng Web </v>
          </cell>
          <cell r="D57" t="str">
            <v>Web Application Programming</v>
          </cell>
          <cell r="E57">
            <v>3</v>
          </cell>
          <cell r="F57">
            <v>30</v>
          </cell>
          <cell r="G57">
            <v>30</v>
          </cell>
          <cell r="H57">
            <v>0</v>
          </cell>
          <cell r="I57">
            <v>0</v>
          </cell>
          <cell r="J57" t="str">
            <v>BB</v>
          </cell>
          <cell r="K57" t="str">
            <v>Không</v>
          </cell>
          <cell r="L57" t="str">
            <v>[71ITBS10203]Cơ sở lập trình</v>
          </cell>
        </row>
        <row r="58">
          <cell r="B58" t="str">
            <v>71ITAI40103</v>
          </cell>
          <cell r="C58" t="str">
            <v xml:space="preserve">Nhập môn Trí tuệ nhân tạo </v>
          </cell>
          <cell r="D58" t="str">
            <v>Introduction to Artificial Intelligence</v>
          </cell>
          <cell r="E58">
            <v>3</v>
          </cell>
          <cell r="F58">
            <v>30</v>
          </cell>
          <cell r="G58">
            <v>30</v>
          </cell>
          <cell r="H58">
            <v>0</v>
          </cell>
          <cell r="I58">
            <v>0</v>
          </cell>
          <cell r="J58" t="str">
            <v>BB</v>
          </cell>
          <cell r="K58" t="str">
            <v>Không</v>
          </cell>
          <cell r="L58" t="str">
            <v>[71ITBS10203]Cơ sở lập trình</v>
          </cell>
        </row>
        <row r="59">
          <cell r="B59" t="str">
            <v>71ITDS30203</v>
          </cell>
          <cell r="C59" t="str">
            <v>Nhập môn Phân tích Dữ liệu và Học sâu</v>
          </cell>
          <cell r="D59" t="str">
            <v>Introduction to Data Analytics and Deep Learning</v>
          </cell>
          <cell r="E59">
            <v>3</v>
          </cell>
          <cell r="F59">
            <v>30</v>
          </cell>
          <cell r="G59">
            <v>30</v>
          </cell>
          <cell r="H59">
            <v>0</v>
          </cell>
          <cell r="I59">
            <v>0</v>
          </cell>
          <cell r="J59" t="str">
            <v>TC209</v>
          </cell>
          <cell r="K59" t="str">
            <v>Không</v>
          </cell>
          <cell r="L59" t="str">
            <v>Không</v>
          </cell>
        </row>
        <row r="60">
          <cell r="B60" t="str">
            <v>71ITDS40203</v>
          </cell>
          <cell r="C60" t="str">
            <v>Xác xuất thống kê ứng dụng</v>
          </cell>
          <cell r="D60" t="str">
            <v>Applicable Probability and Statistics</v>
          </cell>
          <cell r="E60">
            <v>3</v>
          </cell>
          <cell r="F60">
            <v>30</v>
          </cell>
          <cell r="G60">
            <v>30</v>
          </cell>
          <cell r="H60">
            <v>0</v>
          </cell>
          <cell r="I60">
            <v>0</v>
          </cell>
          <cell r="J60" t="str">
            <v>TC209</v>
          </cell>
          <cell r="K60" t="str">
            <v>Không</v>
          </cell>
          <cell r="L60" t="str">
            <v>[71ITMA10403]Toán rời rạc</v>
          </cell>
        </row>
        <row r="61">
          <cell r="B61" t="str">
            <v>71ITSE30403</v>
          </cell>
          <cell r="C61" t="str">
            <v>Lập trình ứng dụng Java</v>
          </cell>
          <cell r="D61" t="str">
            <v>Java Application Programming</v>
          </cell>
          <cell r="E61">
            <v>3</v>
          </cell>
          <cell r="F61">
            <v>30</v>
          </cell>
          <cell r="G61">
            <v>30</v>
          </cell>
          <cell r="H61">
            <v>0</v>
          </cell>
          <cell r="I61">
            <v>0</v>
          </cell>
          <cell r="J61" t="str">
            <v>TC209</v>
          </cell>
          <cell r="K61" t="str">
            <v>Không</v>
          </cell>
          <cell r="L61" t="str">
            <v>Không</v>
          </cell>
        </row>
        <row r="62">
          <cell r="B62" t="str">
            <v>71NWSE40103</v>
          </cell>
          <cell r="C62" t="str">
            <v>Nhập môn hệ thống nhúng</v>
          </cell>
          <cell r="D62" t="str">
            <v>Foundation of Embedded System</v>
          </cell>
          <cell r="E62">
            <v>3</v>
          </cell>
          <cell r="F62">
            <v>30</v>
          </cell>
          <cell r="G62">
            <v>30</v>
          </cell>
          <cell r="H62">
            <v>0</v>
          </cell>
          <cell r="I62">
            <v>0</v>
          </cell>
          <cell r="J62" t="str">
            <v>TC209</v>
          </cell>
          <cell r="K62" t="str">
            <v>Không</v>
          </cell>
          <cell r="L62" t="str">
            <v>Không</v>
          </cell>
        </row>
        <row r="63">
          <cell r="B63" t="str">
            <v>71ISBC30103</v>
          </cell>
          <cell r="C63" t="str">
            <v>Nhập môn Hệ thống thông tin</v>
          </cell>
          <cell r="D63" t="str">
            <v>Introduction to Information Systems</v>
          </cell>
          <cell r="E63">
            <v>3</v>
          </cell>
          <cell r="F63">
            <v>30</v>
          </cell>
          <cell r="G63">
            <v>30</v>
          </cell>
          <cell r="H63">
            <v>0</v>
          </cell>
          <cell r="I63">
            <v>0</v>
          </cell>
          <cell r="J63" t="str">
            <v>TC209</v>
          </cell>
          <cell r="K63" t="str">
            <v>Không</v>
          </cell>
          <cell r="L63" t="str">
            <v>[71ITBS10103]Nhập môn công nghệ thông tin</v>
          </cell>
        </row>
        <row r="64">
          <cell r="B64" t="str">
            <v>71ITNW30303</v>
          </cell>
          <cell r="C64" t="str">
            <v xml:space="preserve">An ninh Mạng máy tính </v>
          </cell>
          <cell r="D64" t="str">
            <v>Network Security</v>
          </cell>
          <cell r="E64">
            <v>3</v>
          </cell>
          <cell r="F64">
            <v>30</v>
          </cell>
          <cell r="G64">
            <v>30</v>
          </cell>
          <cell r="H64">
            <v>0</v>
          </cell>
          <cell r="I64">
            <v>0</v>
          </cell>
          <cell r="J64" t="str">
            <v>TC209</v>
          </cell>
          <cell r="K64" t="str">
            <v>Không</v>
          </cell>
          <cell r="L64" t="str">
            <v>Không</v>
          </cell>
        </row>
        <row r="65">
          <cell r="B65" t="str">
            <v>71ITIS30303</v>
          </cell>
          <cell r="C65" t="str">
            <v>Quản lý Dự án Công nghệ Thông tin</v>
          </cell>
          <cell r="D65" t="str">
            <v>IT Project Management</v>
          </cell>
          <cell r="E65">
            <v>3</v>
          </cell>
          <cell r="F65">
            <v>30</v>
          </cell>
          <cell r="G65">
            <v>30</v>
          </cell>
          <cell r="H65">
            <v>0</v>
          </cell>
          <cell r="I65">
            <v>0</v>
          </cell>
          <cell r="J65" t="str">
            <v>TC209</v>
          </cell>
          <cell r="K65" t="str">
            <v>Không</v>
          </cell>
          <cell r="L65" t="str">
            <v>[71ITBS10103]Nhập môn công nghệ thông tin</v>
          </cell>
        </row>
        <row r="66">
          <cell r="B66" t="str">
            <v>71ITSE30903</v>
          </cell>
          <cell r="C66" t="str">
            <v>Thiết kế giao diện người dùng</v>
          </cell>
          <cell r="D66" t="str">
            <v>User Interface Design</v>
          </cell>
          <cell r="E66">
            <v>3</v>
          </cell>
          <cell r="F66">
            <v>30</v>
          </cell>
          <cell r="G66">
            <v>30</v>
          </cell>
          <cell r="H66">
            <v>0</v>
          </cell>
          <cell r="I66">
            <v>0</v>
          </cell>
          <cell r="J66" t="str">
            <v>TC209</v>
          </cell>
          <cell r="K66" t="str">
            <v>Không</v>
          </cell>
          <cell r="L66" t="str">
            <v>Không</v>
          </cell>
        </row>
        <row r="67">
          <cell r="B67" t="str">
            <v>71ITSE41003</v>
          </cell>
          <cell r="C67" t="str">
            <v xml:space="preserve">Nhập môn Công nghệ phần mềm </v>
          </cell>
          <cell r="D67" t="str">
            <v>Introduction to Software Technology</v>
          </cell>
          <cell r="E67">
            <v>3</v>
          </cell>
          <cell r="F67">
            <v>30</v>
          </cell>
          <cell r="G67">
            <v>30</v>
          </cell>
          <cell r="H67">
            <v>0</v>
          </cell>
          <cell r="I67">
            <v>0</v>
          </cell>
          <cell r="J67" t="str">
            <v>BB</v>
          </cell>
          <cell r="K67" t="str">
            <v>Không</v>
          </cell>
          <cell r="L67" t="str">
            <v>[71ITBS10103]Nhập môn công nghệ thông tin</v>
          </cell>
        </row>
        <row r="68">
          <cell r="B68" t="str">
            <v>71ITSE41103</v>
          </cell>
          <cell r="C68" t="str">
            <v xml:space="preserve">Kỹ thuật lấy yêu cầu </v>
          </cell>
          <cell r="D68" t="str">
            <v>Requirements Engineering</v>
          </cell>
          <cell r="E68">
            <v>3</v>
          </cell>
          <cell r="F68">
            <v>30</v>
          </cell>
          <cell r="G68">
            <v>30</v>
          </cell>
          <cell r="H68">
            <v>0</v>
          </cell>
          <cell r="I68">
            <v>0</v>
          </cell>
          <cell r="J68" t="str">
            <v>BB</v>
          </cell>
          <cell r="K68" t="str">
            <v>Không</v>
          </cell>
          <cell r="L68" t="str">
            <v>[71ITSE41003]Nhập môn công nghệ phần mềm</v>
          </cell>
        </row>
        <row r="69">
          <cell r="B69" t="str">
            <v>71ITSE41203</v>
          </cell>
          <cell r="C69" t="str">
            <v xml:space="preserve">Kiểm thử phần mềm </v>
          </cell>
          <cell r="D69" t="str">
            <v>Software Testing</v>
          </cell>
          <cell r="E69">
            <v>3</v>
          </cell>
          <cell r="F69">
            <v>30</v>
          </cell>
          <cell r="G69">
            <v>30</v>
          </cell>
          <cell r="H69">
            <v>0</v>
          </cell>
          <cell r="I69">
            <v>0</v>
          </cell>
          <cell r="J69" t="str">
            <v>BB</v>
          </cell>
          <cell r="K69" t="str">
            <v>Không</v>
          </cell>
          <cell r="L69" t="str">
            <v>[71ITSE41003]Nhập môn công nghệ phần mềm</v>
          </cell>
        </row>
        <row r="70">
          <cell r="B70" t="str">
            <v>71ITSE41303</v>
          </cell>
          <cell r="C70" t="str">
            <v xml:space="preserve">Phân tích và thiết kế hệ thống theo Hướng đối tượng </v>
          </cell>
          <cell r="D70" t="str">
            <v>Object Oriented Analysis and Design</v>
          </cell>
          <cell r="E70">
            <v>3</v>
          </cell>
          <cell r="F70">
            <v>30</v>
          </cell>
          <cell r="G70">
            <v>30</v>
          </cell>
          <cell r="H70">
            <v>0</v>
          </cell>
          <cell r="I70">
            <v>0</v>
          </cell>
          <cell r="J70" t="str">
            <v>BB</v>
          </cell>
          <cell r="K70" t="str">
            <v>Không</v>
          </cell>
          <cell r="L70" t="str">
            <v>[71ITSE41103]Kỹ thuật lấy yêu cầu</v>
          </cell>
        </row>
        <row r="71">
          <cell r="B71" t="str">
            <v>71ITSE41403</v>
          </cell>
          <cell r="C71" t="str">
            <v xml:space="preserve">Lập trình Web nâng cao </v>
          </cell>
          <cell r="D71" t="str">
            <v>Advanced Web Programming</v>
          </cell>
          <cell r="E71">
            <v>3</v>
          </cell>
          <cell r="F71">
            <v>30</v>
          </cell>
          <cell r="G71">
            <v>30</v>
          </cell>
          <cell r="H71">
            <v>0</v>
          </cell>
          <cell r="I71">
            <v>0</v>
          </cell>
          <cell r="J71" t="str">
            <v>BB</v>
          </cell>
          <cell r="K71" t="str">
            <v>Không</v>
          </cell>
          <cell r="L71" t="str">
            <v>[71ITSE30503]Lập trình ứng dụng web</v>
          </cell>
        </row>
        <row r="72">
          <cell r="B72" t="str">
            <v>71ITSE41503</v>
          </cell>
          <cell r="C72" t="str">
            <v xml:space="preserve">Quản lý dự án phần mềm </v>
          </cell>
          <cell r="D72" t="str">
            <v>Software Project Management</v>
          </cell>
          <cell r="E72">
            <v>3</v>
          </cell>
          <cell r="F72">
            <v>30</v>
          </cell>
          <cell r="G72">
            <v>30</v>
          </cell>
          <cell r="H72">
            <v>0</v>
          </cell>
          <cell r="I72">
            <v>0</v>
          </cell>
          <cell r="J72" t="str">
            <v>BB</v>
          </cell>
          <cell r="K72" t="str">
            <v>Không</v>
          </cell>
          <cell r="L72" t="str">
            <v>[71ITSE41103]Kỹ thuật lấy yêu cầu</v>
          </cell>
        </row>
        <row r="73">
          <cell r="B73" t="str">
            <v>71ITDS40303</v>
          </cell>
          <cell r="C73" t="str">
            <v>Nhập môn Phân tích Dữ liệu lớn</v>
          </cell>
          <cell r="D73" t="str">
            <v>Introduction to BigData Analytics</v>
          </cell>
          <cell r="E73">
            <v>3</v>
          </cell>
          <cell r="F73">
            <v>30</v>
          </cell>
          <cell r="G73">
            <v>30</v>
          </cell>
          <cell r="H73">
            <v>0</v>
          </cell>
          <cell r="I73">
            <v>0</v>
          </cell>
          <cell r="J73" t="str">
            <v>BB</v>
          </cell>
          <cell r="K73" t="str">
            <v>Không</v>
          </cell>
          <cell r="L73" t="str">
            <v>Không</v>
          </cell>
        </row>
        <row r="74">
          <cell r="B74" t="str">
            <v>71ITAI40203</v>
          </cell>
          <cell r="C74" t="str">
            <v xml:space="preserve">Nhập môn học máy </v>
          </cell>
          <cell r="D74" t="str">
            <v>Introduction to Machine Learning</v>
          </cell>
          <cell r="E74">
            <v>3</v>
          </cell>
          <cell r="F74">
            <v>30</v>
          </cell>
          <cell r="G74">
            <v>30</v>
          </cell>
          <cell r="H74">
            <v>0</v>
          </cell>
          <cell r="I74">
            <v>0</v>
          </cell>
          <cell r="J74" t="str">
            <v>BB</v>
          </cell>
          <cell r="K74" t="str">
            <v>Không</v>
          </cell>
          <cell r="L74" t="str">
            <v>[71ITDS40203]Xác xuất thống kê ứng dụng</v>
          </cell>
        </row>
        <row r="75">
          <cell r="B75" t="str">
            <v>71ITAI40303</v>
          </cell>
          <cell r="C75" t="str">
            <v xml:space="preserve">Các hệ hỗ trợ ra quyết định </v>
          </cell>
          <cell r="D75" t="str">
            <v>Decision Support Systems</v>
          </cell>
          <cell r="E75">
            <v>3</v>
          </cell>
          <cell r="F75">
            <v>30</v>
          </cell>
          <cell r="G75">
            <v>30</v>
          </cell>
          <cell r="H75">
            <v>0</v>
          </cell>
          <cell r="I75">
            <v>0</v>
          </cell>
          <cell r="J75" t="str">
            <v>BB</v>
          </cell>
          <cell r="K75" t="str">
            <v>Không</v>
          </cell>
          <cell r="L75" t="str">
            <v>Không</v>
          </cell>
        </row>
        <row r="76">
          <cell r="B76" t="str">
            <v>71ITDS40403</v>
          </cell>
          <cell r="C76" t="str">
            <v xml:space="preserve">Số hóa và quản trị thông tin số </v>
          </cell>
          <cell r="D76" t="str">
            <v>Information Digitization and Management</v>
          </cell>
          <cell r="E76">
            <v>3</v>
          </cell>
          <cell r="F76">
            <v>30</v>
          </cell>
          <cell r="G76">
            <v>30</v>
          </cell>
          <cell r="H76">
            <v>0</v>
          </cell>
          <cell r="I76">
            <v>0</v>
          </cell>
          <cell r="J76" t="str">
            <v>BB</v>
          </cell>
          <cell r="K76" t="str">
            <v>Không</v>
          </cell>
          <cell r="L76" t="str">
            <v>Không</v>
          </cell>
        </row>
        <row r="77">
          <cell r="B77" t="str">
            <v>71ITAI40903</v>
          </cell>
          <cell r="C77" t="str">
            <v xml:space="preserve">Lập trình tính toán song song </v>
          </cell>
          <cell r="D77" t="str">
            <v>Parallel Computational Programming</v>
          </cell>
          <cell r="E77">
            <v>3</v>
          </cell>
          <cell r="F77">
            <v>30</v>
          </cell>
          <cell r="G77">
            <v>30</v>
          </cell>
          <cell r="H77">
            <v>0</v>
          </cell>
          <cell r="I77">
            <v>0</v>
          </cell>
          <cell r="J77" t="str">
            <v>BB</v>
          </cell>
          <cell r="K77" t="str">
            <v>Không</v>
          </cell>
          <cell r="L77" t="str">
            <v xml:space="preserve">[71ITSE30303]Cấu trúc dữ liệu và giải thuật </v>
          </cell>
        </row>
        <row r="78">
          <cell r="B78" t="str">
            <v>71ITDS40503</v>
          </cell>
          <cell r="C78" t="str">
            <v>Mã hóa dữ liệu và chuỗi khối (Block chain)</v>
          </cell>
          <cell r="D78" t="str">
            <v>Data Encryption and Security</v>
          </cell>
          <cell r="E78">
            <v>3</v>
          </cell>
          <cell r="F78">
            <v>30</v>
          </cell>
          <cell r="G78">
            <v>30</v>
          </cell>
          <cell r="H78">
            <v>0</v>
          </cell>
          <cell r="I78">
            <v>0</v>
          </cell>
          <cell r="J78" t="str">
            <v>BB</v>
          </cell>
          <cell r="K78" t="str">
            <v>Không</v>
          </cell>
          <cell r="L78" t="str">
            <v>[71ITIS30103]Cơ sở dữ liệu</v>
          </cell>
        </row>
        <row r="79">
          <cell r="B79" t="str">
            <v>71ITAI40803</v>
          </cell>
          <cell r="C79" t="str">
            <v xml:space="preserve">Nhập môn xử lý ảnh số </v>
          </cell>
          <cell r="D79" t="str">
            <v>Introduction to Digital Image Processing</v>
          </cell>
          <cell r="E79">
            <v>3</v>
          </cell>
          <cell r="F79">
            <v>30</v>
          </cell>
          <cell r="G79">
            <v>30</v>
          </cell>
          <cell r="H79">
            <v>0</v>
          </cell>
          <cell r="I79">
            <v>0</v>
          </cell>
          <cell r="J79" t="str">
            <v>BB</v>
          </cell>
          <cell r="K79" t="str">
            <v>Không</v>
          </cell>
          <cell r="L79" t="str">
            <v xml:space="preserve">Không </v>
          </cell>
        </row>
        <row r="80">
          <cell r="B80" t="str">
            <v>71ITAI41203</v>
          </cell>
          <cell r="C80" t="str">
            <v>Học máy ứng dụng</v>
          </cell>
          <cell r="D80" t="str">
            <v>Applied Machine Learning</v>
          </cell>
          <cell r="E80">
            <v>3</v>
          </cell>
          <cell r="F80">
            <v>30</v>
          </cell>
          <cell r="G80">
            <v>30</v>
          </cell>
          <cell r="H80">
            <v>0</v>
          </cell>
          <cell r="I80">
            <v>0</v>
          </cell>
          <cell r="J80" t="str">
            <v>BB</v>
          </cell>
          <cell r="K80" t="str">
            <v>Không</v>
          </cell>
          <cell r="L80" t="str">
            <v>[71ITDS40203]Xác xuất thống kê ứng dụng</v>
          </cell>
        </row>
        <row r="81">
          <cell r="B81" t="str">
            <v>71ITAI40503</v>
          </cell>
          <cell r="C81" t="str">
            <v>Trí tuệ nhân tạo ứng dụng</v>
          </cell>
          <cell r="D81" t="str">
            <v>Applied Artificial Intelligence</v>
          </cell>
          <cell r="E81">
            <v>3</v>
          </cell>
          <cell r="F81">
            <v>30</v>
          </cell>
          <cell r="G81">
            <v>30</v>
          </cell>
          <cell r="H81">
            <v>0</v>
          </cell>
          <cell r="I81">
            <v>0</v>
          </cell>
          <cell r="J81" t="str">
            <v>BB</v>
          </cell>
          <cell r="K81" t="str">
            <v>Không</v>
          </cell>
          <cell r="L81" t="str">
            <v>[71ITDS40203]Xác xuất thống kê ứng dụng</v>
          </cell>
        </row>
        <row r="82">
          <cell r="B82" t="str">
            <v>71ITAI40603</v>
          </cell>
          <cell r="C82" t="str">
            <v xml:space="preserve">Thị giác máy tính </v>
          </cell>
          <cell r="D82" t="str">
            <v>Computer Vision</v>
          </cell>
          <cell r="E82">
            <v>3</v>
          </cell>
          <cell r="F82">
            <v>30</v>
          </cell>
          <cell r="G82">
            <v>30</v>
          </cell>
          <cell r="H82">
            <v>0</v>
          </cell>
          <cell r="I82">
            <v>0</v>
          </cell>
          <cell r="J82" t="str">
            <v>BB</v>
          </cell>
          <cell r="K82" t="str">
            <v>Không</v>
          </cell>
          <cell r="L82" t="str">
            <v xml:space="preserve">[71ITAI41203]Học máy và ứng dụng </v>
          </cell>
        </row>
        <row r="83">
          <cell r="B83" t="str">
            <v>71ITAI40403</v>
          </cell>
          <cell r="C83" t="str">
            <v>Giới thiệu về học sâu</v>
          </cell>
          <cell r="D83" t="str">
            <v>Introduction to Deep learning</v>
          </cell>
          <cell r="E83">
            <v>3</v>
          </cell>
          <cell r="F83">
            <v>30</v>
          </cell>
          <cell r="G83">
            <v>30</v>
          </cell>
          <cell r="H83">
            <v>0</v>
          </cell>
          <cell r="I83">
            <v>0</v>
          </cell>
          <cell r="J83" t="str">
            <v>BB</v>
          </cell>
          <cell r="K83" t="str">
            <v>Không</v>
          </cell>
          <cell r="L83" t="str">
            <v>[71ITAI40503]Trí tuệ nhân tạo ứng dụng</v>
          </cell>
        </row>
        <row r="84">
          <cell r="B84" t="str">
            <v>71ITAI41303</v>
          </cell>
          <cell r="C84" t="str">
            <v>Các công cụ và nền tảng cho trí tuệ nhân tạo</v>
          </cell>
          <cell r="D84" t="str">
            <v>Tools and Platforms for Artificial Intelligence</v>
          </cell>
          <cell r="E84">
            <v>3</v>
          </cell>
          <cell r="F84">
            <v>30</v>
          </cell>
          <cell r="G84">
            <v>30</v>
          </cell>
          <cell r="H84">
            <v>0</v>
          </cell>
          <cell r="I84">
            <v>0</v>
          </cell>
          <cell r="J84" t="str">
            <v>BB</v>
          </cell>
          <cell r="K84" t="str">
            <v>Không</v>
          </cell>
          <cell r="L84" t="str">
            <v xml:space="preserve">Không </v>
          </cell>
        </row>
        <row r="85">
          <cell r="B85" t="str">
            <v>71ITSE30703</v>
          </cell>
          <cell r="C85" t="str">
            <v xml:space="preserve">Lập trình di động nâng cao </v>
          </cell>
          <cell r="D85" t="str">
            <v>Advanced Mobile Programming</v>
          </cell>
          <cell r="E85">
            <v>3</v>
          </cell>
          <cell r="F85">
            <v>30</v>
          </cell>
          <cell r="G85">
            <v>30</v>
          </cell>
          <cell r="H85">
            <v>0</v>
          </cell>
          <cell r="I85">
            <v>0</v>
          </cell>
          <cell r="J85" t="str">
            <v>TC309</v>
          </cell>
          <cell r="K85" t="str">
            <v>Không</v>
          </cell>
          <cell r="L85" t="str">
            <v>[71ITSE30603]Lập trình ứng dụng di động</v>
          </cell>
        </row>
        <row r="86">
          <cell r="B86" t="str">
            <v>71ITSE30803</v>
          </cell>
          <cell r="C86" t="str">
            <v>Lập trình Java nâng cao</v>
          </cell>
          <cell r="D86" t="str">
            <v>Advanced Java Programming</v>
          </cell>
          <cell r="E86">
            <v>3</v>
          </cell>
          <cell r="F86">
            <v>30</v>
          </cell>
          <cell r="G86">
            <v>30</v>
          </cell>
          <cell r="H86">
            <v>0</v>
          </cell>
          <cell r="I86">
            <v>0</v>
          </cell>
          <cell r="J86" t="str">
            <v>TC309</v>
          </cell>
          <cell r="K86" t="str">
            <v>Không</v>
          </cell>
          <cell r="L86" t="str">
            <v>[71ITSE30403]Lập trình ứng dụng Java</v>
          </cell>
        </row>
        <row r="87">
          <cell r="B87" t="str">
            <v>71ITSE31003</v>
          </cell>
          <cell r="C87" t="str">
            <v>Lập trình Python nâng cao</v>
          </cell>
          <cell r="D87" t="str">
            <v>Advanced Python Programming</v>
          </cell>
          <cell r="E87">
            <v>3</v>
          </cell>
          <cell r="F87">
            <v>30</v>
          </cell>
          <cell r="G87">
            <v>30</v>
          </cell>
          <cell r="H87">
            <v>0</v>
          </cell>
          <cell r="I87">
            <v>0</v>
          </cell>
          <cell r="J87" t="str">
            <v>TC309</v>
          </cell>
          <cell r="K87" t="str">
            <v>Không</v>
          </cell>
          <cell r="L87" t="str">
            <v>Không</v>
          </cell>
        </row>
        <row r="88">
          <cell r="B88" t="str">
            <v>71ITNW30403</v>
          </cell>
          <cell r="C88" t="str">
            <v>Lập trình Hệ thống nhúng và Mạng kết nối vạn vật</v>
          </cell>
          <cell r="D88" t="str">
            <v>Programming for Embedded Systems and Internet of Things</v>
          </cell>
          <cell r="E88">
            <v>3</v>
          </cell>
          <cell r="F88">
            <v>30</v>
          </cell>
          <cell r="G88">
            <v>30</v>
          </cell>
          <cell r="H88">
            <v>0</v>
          </cell>
          <cell r="I88">
            <v>0</v>
          </cell>
          <cell r="J88" t="str">
            <v>TC309</v>
          </cell>
          <cell r="K88" t="str">
            <v>Không</v>
          </cell>
          <cell r="L88" t="str">
            <v xml:space="preserve">Không </v>
          </cell>
        </row>
        <row r="89">
          <cell r="B89" t="str">
            <v>71ITSE41603</v>
          </cell>
          <cell r="C89" t="str">
            <v xml:space="preserve">Kiểm thử tự động </v>
          </cell>
          <cell r="D89" t="str">
            <v>Automation Testing</v>
          </cell>
          <cell r="E89">
            <v>3</v>
          </cell>
          <cell r="F89">
            <v>30</v>
          </cell>
          <cell r="G89">
            <v>30</v>
          </cell>
          <cell r="H89">
            <v>0</v>
          </cell>
          <cell r="I89">
            <v>0</v>
          </cell>
          <cell r="J89" t="str">
            <v>TC309</v>
          </cell>
          <cell r="K89" t="str">
            <v>Không</v>
          </cell>
          <cell r="L89" t="str">
            <v>[71ITSE41203]Kiểm thử phần mềm</v>
          </cell>
        </row>
        <row r="90">
          <cell r="B90" t="str">
            <v>71ITAI51403</v>
          </cell>
          <cell r="C90" t="str">
            <v>Nhập môn tối ưu hóa</v>
          </cell>
          <cell r="D90" t="str">
            <v>Introduction to Optimization</v>
          </cell>
          <cell r="E90">
            <v>3</v>
          </cell>
          <cell r="F90">
            <v>30</v>
          </cell>
          <cell r="G90">
            <v>30</v>
          </cell>
          <cell r="H90">
            <v>0</v>
          </cell>
          <cell r="I90">
            <v>0</v>
          </cell>
          <cell r="J90" t="str">
            <v>TC309</v>
          </cell>
          <cell r="K90" t="str">
            <v>Không</v>
          </cell>
          <cell r="L90" t="str">
            <v>Không</v>
          </cell>
        </row>
        <row r="91">
          <cell r="B91" t="str">
            <v>71ITIS30203</v>
          </cell>
          <cell r="C91" t="str">
            <v xml:space="preserve">Hệ Quản trị Cơ sở dữ liệu </v>
          </cell>
          <cell r="D91" t="str">
            <v>Database Management System</v>
          </cell>
          <cell r="E91">
            <v>3</v>
          </cell>
          <cell r="F91">
            <v>30</v>
          </cell>
          <cell r="G91">
            <v>30</v>
          </cell>
          <cell r="H91">
            <v>0</v>
          </cell>
          <cell r="I91">
            <v>0</v>
          </cell>
          <cell r="J91" t="str">
            <v>TC309</v>
          </cell>
          <cell r="K91" t="str">
            <v>Không</v>
          </cell>
          <cell r="L91" t="str">
            <v>[71ITIS30103]Cơ sở dữ liệu</v>
          </cell>
        </row>
        <row r="92">
          <cell r="B92" t="str">
            <v>71ITSE30603</v>
          </cell>
          <cell r="C92" t="str">
            <v xml:space="preserve">Lập trình ứng dụng di động </v>
          </cell>
          <cell r="D92" t="str">
            <v>Mobile Application Programming</v>
          </cell>
          <cell r="E92">
            <v>3</v>
          </cell>
          <cell r="F92">
            <v>30</v>
          </cell>
          <cell r="G92">
            <v>30</v>
          </cell>
          <cell r="H92">
            <v>0</v>
          </cell>
          <cell r="I92">
            <v>0</v>
          </cell>
          <cell r="J92" t="str">
            <v>TC309</v>
          </cell>
          <cell r="K92" t="str">
            <v>Không</v>
          </cell>
          <cell r="L92" t="str">
            <v>[71ITBS10203]Cơ sở lập trình</v>
          </cell>
        </row>
        <row r="93">
          <cell r="B93" t="str">
            <v>71ITIN40304</v>
          </cell>
          <cell r="C93" t="str">
            <v xml:space="preserve">Đồ án thực tập </v>
          </cell>
          <cell r="D93" t="str">
            <v xml:space="preserve">Internship Project </v>
          </cell>
          <cell r="E93">
            <v>4</v>
          </cell>
          <cell r="F93">
            <v>0</v>
          </cell>
          <cell r="G93">
            <v>0</v>
          </cell>
          <cell r="H93">
            <v>0</v>
          </cell>
          <cell r="I93">
            <v>180</v>
          </cell>
          <cell r="J93" t="str">
            <v>BB</v>
          </cell>
          <cell r="K93" t="str">
            <v>Không</v>
          </cell>
          <cell r="L93" t="str">
            <v>[71ITSE30103] Kỹ thuật lập trình</v>
          </cell>
        </row>
        <row r="94">
          <cell r="B94" t="str">
            <v>71ITGR40206</v>
          </cell>
          <cell r="C94" t="str">
            <v>Đồ án Tốt nghiệp</v>
          </cell>
          <cell r="D94" t="str">
            <v>Graduation Projects</v>
          </cell>
          <cell r="E94">
            <v>6</v>
          </cell>
          <cell r="F94">
            <v>0</v>
          </cell>
          <cell r="G94">
            <v>0</v>
          </cell>
          <cell r="H94">
            <v>270</v>
          </cell>
          <cell r="I94">
            <v>0</v>
          </cell>
          <cell r="J94" t="str">
            <v>TC406</v>
          </cell>
          <cell r="K94" t="str">
            <v>Không</v>
          </cell>
          <cell r="L94" t="str">
            <v>Dựa theo quy định cụ thể của Khoa về Triển khai Học và làm ĐATN</v>
          </cell>
        </row>
        <row r="95">
          <cell r="B95" t="str">
            <v>71ITGR40203</v>
          </cell>
          <cell r="C95" t="str">
            <v>Chuyên đề Tốt nghiệp 1</v>
          </cell>
          <cell r="D95" t="str">
            <v>Specialized Graduation Topic I</v>
          </cell>
          <cell r="E95">
            <v>3</v>
          </cell>
          <cell r="F95">
            <v>0</v>
          </cell>
          <cell r="G95">
            <v>0</v>
          </cell>
          <cell r="H95">
            <v>180</v>
          </cell>
          <cell r="J95" t="str">
            <v>TC406</v>
          </cell>
          <cell r="K95" t="str">
            <v>Không</v>
          </cell>
          <cell r="L95" t="str">
            <v>Dựa theo quy định cụ thể của Khoa về Triển khai Học và làm ĐATN</v>
          </cell>
        </row>
        <row r="96">
          <cell r="B96" t="str">
            <v>71ITGR40303</v>
          </cell>
          <cell r="C96" t="str">
            <v>Chuyên đề Tốt nghiệp 2</v>
          </cell>
          <cell r="D96" t="str">
            <v>Specialized Graduation Topic II</v>
          </cell>
          <cell r="E96">
            <v>3</v>
          </cell>
          <cell r="F96">
            <v>0</v>
          </cell>
          <cell r="G96">
            <v>0</v>
          </cell>
          <cell r="H96">
            <v>180</v>
          </cell>
          <cell r="J96" t="str">
            <v>TC406</v>
          </cell>
          <cell r="K96" t="str">
            <v>Không</v>
          </cell>
          <cell r="L96" t="str">
            <v>Dựa theo quy định cụ thể của Khoa về Triển khai Học và làm ĐATN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tabSelected="1" view="pageBreakPreview" zoomScaleNormal="90" zoomScaleSheetLayoutView="100" workbookViewId="0">
      <selection activeCell="K4" sqref="K4"/>
    </sheetView>
  </sheetViews>
  <sheetFormatPr defaultColWidth="10.44140625" defaultRowHeight="16.8" x14ac:dyDescent="0.3"/>
  <cols>
    <col min="1" max="1" width="7.44140625" style="10" customWidth="1"/>
    <col min="2" max="3" width="9.109375" style="10" customWidth="1"/>
    <col min="4" max="4" width="14.6640625" style="11" customWidth="1"/>
    <col min="5" max="5" width="36.6640625" style="12" customWidth="1"/>
    <col min="6" max="6" width="5.44140625" style="10" customWidth="1"/>
    <col min="7" max="9" width="7.33203125" style="10" customWidth="1"/>
    <col min="10" max="10" width="6.88671875" style="10" customWidth="1"/>
    <col min="11" max="11" width="10.44140625" style="10"/>
    <col min="12" max="12" width="22.5546875" style="12" customWidth="1"/>
    <col min="13" max="13" width="46.33203125" style="13" customWidth="1"/>
    <col min="14" max="14" width="7.44140625" style="87" customWidth="1"/>
    <col min="15" max="15" width="8.6640625" style="10" customWidth="1"/>
    <col min="16" max="16" width="7" style="87" customWidth="1"/>
    <col min="17" max="17" width="5.109375" style="133" customWidth="1"/>
    <col min="18" max="16384" width="10.44140625" style="10"/>
  </cols>
  <sheetData>
    <row r="1" spans="1:18" x14ac:dyDescent="0.3">
      <c r="A1" s="9" t="s">
        <v>0</v>
      </c>
    </row>
    <row r="2" spans="1:18" x14ac:dyDescent="0.3">
      <c r="A2" s="9" t="s">
        <v>1</v>
      </c>
    </row>
    <row r="3" spans="1:18" ht="10.35" customHeight="1" x14ac:dyDescent="0.3"/>
    <row r="4" spans="1:18" ht="25.5" customHeight="1" x14ac:dyDescent="0.3">
      <c r="A4" s="31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88">
        <f>SUM(N9:N100)</f>
        <v>126</v>
      </c>
      <c r="O4" s="95"/>
    </row>
    <row r="5" spans="1:18" ht="8.4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8" s="15" customFormat="1" ht="10.8" thickBot="1" x14ac:dyDescent="0.25">
      <c r="D6" s="16"/>
      <c r="E6" s="17">
        <v>2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7">
        <v>10</v>
      </c>
      <c r="M6" s="17">
        <v>11</v>
      </c>
      <c r="Q6" s="132"/>
    </row>
    <row r="7" spans="1:18" ht="24" customHeight="1" x14ac:dyDescent="0.3">
      <c r="A7" s="166" t="s">
        <v>3</v>
      </c>
      <c r="B7" s="168" t="s">
        <v>4</v>
      </c>
      <c r="C7" s="176" t="s">
        <v>5</v>
      </c>
      <c r="D7" s="170" t="s">
        <v>6</v>
      </c>
      <c r="E7" s="168" t="s">
        <v>7</v>
      </c>
      <c r="F7" s="168" t="s">
        <v>8</v>
      </c>
      <c r="G7" s="168" t="s">
        <v>9</v>
      </c>
      <c r="H7" s="168"/>
      <c r="I7" s="168"/>
      <c r="J7" s="168"/>
      <c r="K7" s="168" t="s">
        <v>10</v>
      </c>
      <c r="L7" s="168" t="s">
        <v>11</v>
      </c>
      <c r="M7" s="174" t="s">
        <v>12</v>
      </c>
      <c r="N7" s="172" t="s">
        <v>13</v>
      </c>
      <c r="O7" s="172" t="s">
        <v>14</v>
      </c>
    </row>
    <row r="8" spans="1:18" ht="24" customHeight="1" thickBot="1" x14ac:dyDescent="0.35">
      <c r="A8" s="167"/>
      <c r="B8" s="169"/>
      <c r="C8" s="177"/>
      <c r="D8" s="171"/>
      <c r="E8" s="169"/>
      <c r="F8" s="169"/>
      <c r="G8" s="63" t="s">
        <v>15</v>
      </c>
      <c r="H8" s="63" t="s">
        <v>16</v>
      </c>
      <c r="I8" s="63" t="s">
        <v>17</v>
      </c>
      <c r="J8" s="63" t="s">
        <v>3</v>
      </c>
      <c r="K8" s="169"/>
      <c r="L8" s="169"/>
      <c r="M8" s="175"/>
      <c r="N8" s="173"/>
      <c r="O8" s="173"/>
    </row>
    <row r="9" spans="1:18" ht="25.5" customHeight="1" x14ac:dyDescent="0.3">
      <c r="A9" s="179" t="s">
        <v>18</v>
      </c>
      <c r="B9" s="103">
        <v>1</v>
      </c>
      <c r="C9" s="103">
        <v>1</v>
      </c>
      <c r="D9" s="103" t="s">
        <v>19</v>
      </c>
      <c r="E9" s="104" t="str">
        <f>VLOOKUP($D9,'[2]Khung_CTĐT_CNTT_K30 (2024)'!$B$10:$L$96,'Ke hoach giảng dạy CNTT'!E$6,0)</f>
        <v>Anh văn 1 (AV1)</v>
      </c>
      <c r="F9" s="103">
        <f>VLOOKUP($D9,'[2]Khung_CTĐT_CNTT_K30 (2024)'!$B$10:$L$96,'Ke hoach giảng dạy CNTT'!F$6,0)</f>
        <v>3</v>
      </c>
      <c r="G9" s="103">
        <f>VLOOKUP($D9,'[2]Khung_CTĐT_CNTT_K30 (2024)'!$B$10:$L$96,'Ke hoach giảng dạy CNTT'!G$6,0)</f>
        <v>30</v>
      </c>
      <c r="H9" s="103">
        <f>VLOOKUP($D9,'[2]Khung_CTĐT_CNTT_K30 (2024)'!$B$10:$L$96,'Ke hoach giảng dạy CNTT'!H$6,0)</f>
        <v>30</v>
      </c>
      <c r="I9" s="103">
        <f>VLOOKUP($D9,'[2]Khung_CTĐT_CNTT_K30 (2024)'!$B$10:$L$96,'Ke hoach giảng dạy CNTT'!I$6,0)</f>
        <v>0</v>
      </c>
      <c r="J9" s="103">
        <f>VLOOKUP($D9,'[2]Khung_CTĐT_CNTT_K30 (2024)'!$B$10:$L$96,'Ke hoach giảng dạy CNTT'!J$6,0)</f>
        <v>0</v>
      </c>
      <c r="K9" s="103" t="str">
        <f>VLOOKUP($D9,'[2]Khung_CTĐT_CNTT_K30 (2024)'!$B$10:$L$96,'Ke hoach giảng dạy CNTT'!K$6,0)</f>
        <v>BB</v>
      </c>
      <c r="L9" s="105" t="str">
        <f>VLOOKUP($D9,'[2]Khung_CTĐT_CNTT_K30 (2024)'!$B$10:$L$96,'Ke hoach giảng dạy CNTT'!L$6,0)</f>
        <v>[71ENG010012]Anh văn dự bị (AV0)</v>
      </c>
      <c r="M9" s="106" t="str">
        <f>VLOOKUP($D9,'[2]Khung_CTĐT_CNTT_K30 (2024)'!$B$10:$L$96,'Ke hoach giảng dạy CNTT'!M$6,0)</f>
        <v xml:space="preserve">Không </v>
      </c>
      <c r="N9" s="107">
        <f>SUM(F9:F12)</f>
        <v>12</v>
      </c>
      <c r="O9" s="108"/>
      <c r="P9" s="87">
        <v>12</v>
      </c>
      <c r="Q9" s="133">
        <v>1</v>
      </c>
    </row>
    <row r="10" spans="1:18" x14ac:dyDescent="0.3">
      <c r="A10" s="180"/>
      <c r="B10" s="109">
        <v>1</v>
      </c>
      <c r="C10" s="109">
        <v>1</v>
      </c>
      <c r="D10" s="109" t="s">
        <v>20</v>
      </c>
      <c r="E10" s="110" t="str">
        <f>VLOOKUP($D10,'[2]Khung_CTĐT_CNTT_K30 (2024)'!$B$10:$L$96,'Ke hoach giảng dạy CNTT'!E$6,0)</f>
        <v xml:space="preserve">Nhập môn Công nghệ thông tin </v>
      </c>
      <c r="F10" s="109">
        <f>VLOOKUP($D10,'[2]Khung_CTĐT_CNTT_K30 (2024)'!$B$10:$L$96,'Ke hoach giảng dạy CNTT'!F$6,0)</f>
        <v>3</v>
      </c>
      <c r="G10" s="109">
        <f>VLOOKUP($D10,'[2]Khung_CTĐT_CNTT_K30 (2024)'!$B$10:$L$96,'Ke hoach giảng dạy CNTT'!G$6,0)</f>
        <v>30</v>
      </c>
      <c r="H10" s="109">
        <f>VLOOKUP($D10,'[2]Khung_CTĐT_CNTT_K30 (2024)'!$B$10:$L$96,'Ke hoach giảng dạy CNTT'!H$6,0)</f>
        <v>30</v>
      </c>
      <c r="I10" s="109">
        <f>VLOOKUP($D10,'[2]Khung_CTĐT_CNTT_K30 (2024)'!$B$10:$L$96,'Ke hoach giảng dạy CNTT'!I$6,0)</f>
        <v>0</v>
      </c>
      <c r="J10" s="109">
        <f>VLOOKUP($D10,'[2]Khung_CTĐT_CNTT_K30 (2024)'!$B$10:$L$96,'Ke hoach giảng dạy CNTT'!J$6,0)</f>
        <v>0</v>
      </c>
      <c r="K10" s="109" t="str">
        <f>VLOOKUP($D10,'[2]Khung_CTĐT_CNTT_K30 (2024)'!$B$10:$L$96,'Ke hoach giảng dạy CNTT'!K$6,0)</f>
        <v>BB</v>
      </c>
      <c r="L10" s="111" t="str">
        <f>VLOOKUP($D10,'[2]Khung_CTĐT_CNTT_K30 (2024)'!$B$10:$L$96,'Ke hoach giảng dạy CNTT'!L$6,0)</f>
        <v>Không</v>
      </c>
      <c r="M10" s="112" t="str">
        <f>VLOOKUP($D10,'[2]Khung_CTĐT_CNTT_K30 (2024)'!$B$10:$L$96,'Ke hoach giảng dạy CNTT'!M$6,0)</f>
        <v>Không</v>
      </c>
      <c r="N10" s="107"/>
      <c r="O10" s="108"/>
      <c r="Q10" s="133">
        <f t="shared" ref="Q10:Q17" si="0">Q9</f>
        <v>1</v>
      </c>
      <c r="R10" s="10" t="str">
        <f>IFERROR(VLOOKUP(D10,$D$9:D9,1,0),"")</f>
        <v/>
      </c>
    </row>
    <row r="11" spans="1:18" x14ac:dyDescent="0.3">
      <c r="A11" s="180"/>
      <c r="B11" s="109">
        <v>1</v>
      </c>
      <c r="C11" s="109">
        <v>1</v>
      </c>
      <c r="D11" s="109" t="s">
        <v>21</v>
      </c>
      <c r="E11" s="110" t="str">
        <f>VLOOKUP($D11,'[2]Khung_CTĐT_CNTT_K30 (2024)'!$B$10:$L$96,'Ke hoach giảng dạy CNTT'!E$6,0)</f>
        <v xml:space="preserve">Cơ sở lập trình </v>
      </c>
      <c r="F11" s="109">
        <f>VLOOKUP($D11,'[2]Khung_CTĐT_CNTT_K30 (2024)'!$B$10:$L$96,'Ke hoach giảng dạy CNTT'!F$6,0)</f>
        <v>3</v>
      </c>
      <c r="G11" s="109">
        <f>VLOOKUP($D11,'[2]Khung_CTĐT_CNTT_K30 (2024)'!$B$10:$L$96,'Ke hoach giảng dạy CNTT'!G$6,0)</f>
        <v>30</v>
      </c>
      <c r="H11" s="109">
        <f>VLOOKUP($D11,'[2]Khung_CTĐT_CNTT_K30 (2024)'!$B$10:$L$96,'Ke hoach giảng dạy CNTT'!H$6,0)</f>
        <v>30</v>
      </c>
      <c r="I11" s="109">
        <f>VLOOKUP($D11,'[2]Khung_CTĐT_CNTT_K30 (2024)'!$B$10:$L$96,'Ke hoach giảng dạy CNTT'!I$6,0)</f>
        <v>0</v>
      </c>
      <c r="J11" s="109">
        <f>VLOOKUP($D11,'[2]Khung_CTĐT_CNTT_K30 (2024)'!$B$10:$L$96,'Ke hoach giảng dạy CNTT'!J$6,0)</f>
        <v>0</v>
      </c>
      <c r="K11" s="109" t="str">
        <f>VLOOKUP($D11,'[2]Khung_CTĐT_CNTT_K30 (2024)'!$B$10:$L$96,'Ke hoach giảng dạy CNTT'!K$6,0)</f>
        <v>BB</v>
      </c>
      <c r="L11" s="111" t="str">
        <f>VLOOKUP($D11,'[2]Khung_CTĐT_CNTT_K30 (2024)'!$B$10:$L$96,'Ke hoach giảng dạy CNTT'!L$6,0)</f>
        <v>Không</v>
      </c>
      <c r="M11" s="112" t="str">
        <f>VLOOKUP($D11,'[2]Khung_CTĐT_CNTT_K30 (2024)'!$B$10:$L$96,'Ke hoach giảng dạy CNTT'!M$6,0)</f>
        <v>Không</v>
      </c>
      <c r="N11" s="107"/>
      <c r="O11" s="108"/>
      <c r="Q11" s="133">
        <f t="shared" si="0"/>
        <v>1</v>
      </c>
      <c r="R11" s="10" t="str">
        <f>IFERROR(VLOOKUP(D11,$D$9:D10,1,0),"")</f>
        <v/>
      </c>
    </row>
    <row r="12" spans="1:18" x14ac:dyDescent="0.3">
      <c r="A12" s="180"/>
      <c r="B12" s="109">
        <v>1</v>
      </c>
      <c r="C12" s="109">
        <v>1</v>
      </c>
      <c r="D12" s="109" t="s">
        <v>22</v>
      </c>
      <c r="E12" s="110" t="str">
        <f>VLOOKUP($D12,'[2]Khung_CTĐT_CNTT_K30 (2024)'!$B$10:$L$96,'Ke hoach giảng dạy CNTT'!E$6,0)</f>
        <v>Kỹ năng công dân toàn cầu</v>
      </c>
      <c r="F12" s="109">
        <f>VLOOKUP($D12,'[2]Khung_CTĐT_CNTT_K30 (2024)'!$B$10:$L$96,'Ke hoach giảng dạy CNTT'!F$6,0)</f>
        <v>3</v>
      </c>
      <c r="G12" s="109">
        <f>VLOOKUP($D12,'[2]Khung_CTĐT_CNTT_K30 (2024)'!$B$10:$L$96,'Ke hoach giảng dạy CNTT'!G$6,0)</f>
        <v>45</v>
      </c>
      <c r="H12" s="109">
        <f>VLOOKUP($D12,'[2]Khung_CTĐT_CNTT_K30 (2024)'!$B$10:$L$96,'Ke hoach giảng dạy CNTT'!H$6,0)</f>
        <v>0</v>
      </c>
      <c r="I12" s="109">
        <f>VLOOKUP($D12,'[2]Khung_CTĐT_CNTT_K30 (2024)'!$B$10:$L$96,'Ke hoach giảng dạy CNTT'!I$6,0)</f>
        <v>0</v>
      </c>
      <c r="J12" s="109">
        <f>VLOOKUP($D12,'[2]Khung_CTĐT_CNTT_K30 (2024)'!$B$10:$L$96,'Ke hoach giảng dạy CNTT'!J$6,0)</f>
        <v>0</v>
      </c>
      <c r="K12" s="109" t="str">
        <f>VLOOKUP($D12,'[2]Khung_CTĐT_CNTT_K30 (2024)'!$B$10:$L$96,'Ke hoach giảng dạy CNTT'!K$6,0)</f>
        <v>BB</v>
      </c>
      <c r="L12" s="111" t="str">
        <f>VLOOKUP($D12,'[2]Khung_CTĐT_CNTT_K30 (2024)'!$B$10:$L$96,'Ke hoach giảng dạy CNTT'!L$6,0)</f>
        <v>Không</v>
      </c>
      <c r="M12" s="112" t="str">
        <f>VLOOKUP($D12,'[2]Khung_CTĐT_CNTT_K30 (2024)'!$B$10:$L$96,'Ke hoach giảng dạy CNTT'!M$6,0)</f>
        <v>Không</v>
      </c>
      <c r="N12" s="107"/>
      <c r="O12" s="108"/>
      <c r="Q12" s="133">
        <f t="shared" si="0"/>
        <v>1</v>
      </c>
      <c r="R12" s="10" t="str">
        <f>IFERROR(VLOOKUP(D12,$D$9:D11,1,0),"")</f>
        <v/>
      </c>
    </row>
    <row r="13" spans="1:18" ht="27.6" x14ac:dyDescent="0.3">
      <c r="A13" s="180"/>
      <c r="B13" s="109">
        <v>1</v>
      </c>
      <c r="C13" s="109">
        <v>1</v>
      </c>
      <c r="D13" s="109" t="s">
        <v>23</v>
      </c>
      <c r="E13" s="110" t="str">
        <f>VLOOKUP($D13,'[2]Khung_CTĐT_CNTT_K30 (2024)'!$B$10:$L$96,'Ke hoach giảng dạy CNTT'!E$6,0)</f>
        <v>GDQP1: Đường lối QP và AN của ĐCSVN</v>
      </c>
      <c r="F13" s="109">
        <f>VLOOKUP($D13,'[2]Khung_CTĐT_CNTT_K30 (2024)'!$B$10:$L$96,'Ke hoach giảng dạy CNTT'!F$6,0)</f>
        <v>3</v>
      </c>
      <c r="G13" s="109">
        <f>VLOOKUP($D13,'[2]Khung_CTĐT_CNTT_K30 (2024)'!$B$10:$L$96,'Ke hoach giảng dạy CNTT'!G$6,0)</f>
        <v>0</v>
      </c>
      <c r="H13" s="109">
        <f>VLOOKUP($D13,'[2]Khung_CTĐT_CNTT_K30 (2024)'!$B$10:$L$96,'Ke hoach giảng dạy CNTT'!H$6,0)</f>
        <v>0</v>
      </c>
      <c r="I13" s="109">
        <f>VLOOKUP($D13,'[2]Khung_CTĐT_CNTT_K30 (2024)'!$B$10:$L$96,'Ke hoach giảng dạy CNTT'!I$6,0)</f>
        <v>0</v>
      </c>
      <c r="J13" s="109">
        <f>VLOOKUP($D13,'[2]Khung_CTĐT_CNTT_K30 (2024)'!$B$10:$L$96,'Ke hoach giảng dạy CNTT'!J$6,0)</f>
        <v>0</v>
      </c>
      <c r="K13" s="109" t="str">
        <f>VLOOKUP($D13,'[2]Khung_CTĐT_CNTT_K30 (2024)'!$B$10:$L$96,'Ke hoach giảng dạy CNTT'!K$6,0)</f>
        <v>BB</v>
      </c>
      <c r="L13" s="111" t="str">
        <f>VLOOKUP($D13,'[2]Khung_CTĐT_CNTT_K30 (2024)'!$B$10:$L$96,'Ke hoach giảng dạy CNTT'!L$6,0)</f>
        <v/>
      </c>
      <c r="M13" s="112" t="str">
        <f>VLOOKUP($D13,'[2]Khung_CTĐT_CNTT_K30 (2024)'!$B$10:$L$96,'Ke hoach giảng dạy CNTT'!M$6,0)</f>
        <v/>
      </c>
      <c r="N13" s="107"/>
      <c r="O13" s="108"/>
      <c r="Q13" s="133">
        <f t="shared" si="0"/>
        <v>1</v>
      </c>
      <c r="R13" s="10" t="str">
        <f>IFERROR(VLOOKUP(D13,$D$9:D12,1,0),"")</f>
        <v/>
      </c>
    </row>
    <row r="14" spans="1:18" x14ac:dyDescent="0.3">
      <c r="A14" s="180"/>
      <c r="B14" s="109">
        <v>1</v>
      </c>
      <c r="C14" s="109">
        <v>1</v>
      </c>
      <c r="D14" s="109" t="s">
        <v>24</v>
      </c>
      <c r="E14" s="110" t="str">
        <f>VLOOKUP($D14,'[2]Khung_CTĐT_CNTT_K30 (2024)'!$B$10:$L$96,'Ke hoach giảng dạy CNTT'!E$6,0)</f>
        <v>GDQP2: Công tác quốc phòng và an ninh</v>
      </c>
      <c r="F14" s="109">
        <f>VLOOKUP($D14,'[2]Khung_CTĐT_CNTT_K30 (2024)'!$B$10:$L$96,'Ke hoach giảng dạy CNTT'!F$6,0)</f>
        <v>2</v>
      </c>
      <c r="G14" s="109">
        <f>VLOOKUP($D14,'[2]Khung_CTĐT_CNTT_K30 (2024)'!$B$10:$L$96,'Ke hoach giảng dạy CNTT'!G$6,0)</f>
        <v>0</v>
      </c>
      <c r="H14" s="109">
        <f>VLOOKUP($D14,'[2]Khung_CTĐT_CNTT_K30 (2024)'!$B$10:$L$96,'Ke hoach giảng dạy CNTT'!H$6,0)</f>
        <v>0</v>
      </c>
      <c r="I14" s="109">
        <f>VLOOKUP($D14,'[2]Khung_CTĐT_CNTT_K30 (2024)'!$B$10:$L$96,'Ke hoach giảng dạy CNTT'!I$6,0)</f>
        <v>0</v>
      </c>
      <c r="J14" s="109">
        <f>VLOOKUP($D14,'[2]Khung_CTĐT_CNTT_K30 (2024)'!$B$10:$L$96,'Ke hoach giảng dạy CNTT'!J$6,0)</f>
        <v>0</v>
      </c>
      <c r="K14" s="109" t="str">
        <f>VLOOKUP($D14,'[2]Khung_CTĐT_CNTT_K30 (2024)'!$B$10:$L$96,'Ke hoach giảng dạy CNTT'!K$6,0)</f>
        <v>BB</v>
      </c>
      <c r="L14" s="111" t="str">
        <f>VLOOKUP($D14,'[2]Khung_CTĐT_CNTT_K30 (2024)'!$B$10:$L$96,'Ke hoach giảng dạy CNTT'!L$6,0)</f>
        <v/>
      </c>
      <c r="M14" s="112" t="str">
        <f>VLOOKUP($D14,'[2]Khung_CTĐT_CNTT_K30 (2024)'!$B$10:$L$96,'Ke hoach giảng dạy CNTT'!M$6,0)</f>
        <v/>
      </c>
      <c r="N14" s="107"/>
      <c r="O14" s="108"/>
      <c r="Q14" s="133">
        <f t="shared" si="0"/>
        <v>1</v>
      </c>
      <c r="R14" s="10" t="str">
        <f>IFERROR(VLOOKUP(D14,$D$9:D13,1,0),"")</f>
        <v/>
      </c>
    </row>
    <row r="15" spans="1:18" x14ac:dyDescent="0.3">
      <c r="A15" s="180"/>
      <c r="B15" s="109">
        <v>1</v>
      </c>
      <c r="C15" s="109">
        <v>1</v>
      </c>
      <c r="D15" s="109" t="s">
        <v>25</v>
      </c>
      <c r="E15" s="110" t="str">
        <f>VLOOKUP($D15,'[2]Khung_CTĐT_CNTT_K30 (2024)'!$B$10:$L$96,'Ke hoach giảng dạy CNTT'!E$6,0)</f>
        <v>GDQP3: Quân sự chung</v>
      </c>
      <c r="F15" s="109">
        <f>VLOOKUP($D15,'[2]Khung_CTĐT_CNTT_K30 (2024)'!$B$10:$L$96,'Ke hoach giảng dạy CNTT'!F$6,0)</f>
        <v>2</v>
      </c>
      <c r="G15" s="109">
        <f>VLOOKUP($D15,'[2]Khung_CTĐT_CNTT_K30 (2024)'!$B$10:$L$96,'Ke hoach giảng dạy CNTT'!G$6,0)</f>
        <v>0</v>
      </c>
      <c r="H15" s="109">
        <f>VLOOKUP($D15,'[2]Khung_CTĐT_CNTT_K30 (2024)'!$B$10:$L$96,'Ke hoach giảng dạy CNTT'!H$6,0)</f>
        <v>0</v>
      </c>
      <c r="I15" s="109">
        <f>VLOOKUP($D15,'[2]Khung_CTĐT_CNTT_K30 (2024)'!$B$10:$L$96,'Ke hoach giảng dạy CNTT'!I$6,0)</f>
        <v>0</v>
      </c>
      <c r="J15" s="109">
        <f>VLOOKUP($D15,'[2]Khung_CTĐT_CNTT_K30 (2024)'!$B$10:$L$96,'Ke hoach giảng dạy CNTT'!J$6,0)</f>
        <v>0</v>
      </c>
      <c r="K15" s="109" t="str">
        <f>VLOOKUP($D15,'[2]Khung_CTĐT_CNTT_K30 (2024)'!$B$10:$L$96,'Ke hoach giảng dạy CNTT'!K$6,0)</f>
        <v>BB</v>
      </c>
      <c r="L15" s="111" t="str">
        <f>VLOOKUP($D15,'[2]Khung_CTĐT_CNTT_K30 (2024)'!$B$10:$L$96,'Ke hoach giảng dạy CNTT'!L$6,0)</f>
        <v/>
      </c>
      <c r="M15" s="112" t="str">
        <f>VLOOKUP($D15,'[2]Khung_CTĐT_CNTT_K30 (2024)'!$B$10:$L$96,'Ke hoach giảng dạy CNTT'!M$6,0)</f>
        <v/>
      </c>
      <c r="N15" s="107"/>
      <c r="O15" s="108"/>
      <c r="Q15" s="133">
        <f t="shared" si="0"/>
        <v>1</v>
      </c>
      <c r="R15" s="10" t="str">
        <f>IFERROR(VLOOKUP(D15,$D$9:D14,1,0),"")</f>
        <v/>
      </c>
    </row>
    <row r="16" spans="1:18" ht="27.6" x14ac:dyDescent="0.3">
      <c r="A16" s="180"/>
      <c r="B16" s="109">
        <v>1</v>
      </c>
      <c r="C16" s="109">
        <v>1</v>
      </c>
      <c r="D16" s="109" t="s">
        <v>26</v>
      </c>
      <c r="E16" s="110" t="str">
        <f>VLOOKUP($D16,'[2]Khung_CTĐT_CNTT_K30 (2024)'!$B$10:$L$96,'Ke hoach giảng dạy CNTT'!E$6,0)</f>
        <v>GDQP4: Kỹ thuật chiến đấu bộ binh và chiến thuật</v>
      </c>
      <c r="F16" s="109">
        <f>VLOOKUP($D16,'[2]Khung_CTĐT_CNTT_K30 (2024)'!$B$10:$L$96,'Ke hoach giảng dạy CNTT'!F$6,0)</f>
        <v>4</v>
      </c>
      <c r="G16" s="109">
        <f>VLOOKUP($D16,'[2]Khung_CTĐT_CNTT_K30 (2024)'!$B$10:$L$96,'Ke hoach giảng dạy CNTT'!G$6,0)</f>
        <v>0</v>
      </c>
      <c r="H16" s="109">
        <f>VLOOKUP($D16,'[2]Khung_CTĐT_CNTT_K30 (2024)'!$B$10:$L$96,'Ke hoach giảng dạy CNTT'!H$6,0)</f>
        <v>0</v>
      </c>
      <c r="I16" s="109">
        <f>VLOOKUP($D16,'[2]Khung_CTĐT_CNTT_K30 (2024)'!$B$10:$L$96,'Ke hoach giảng dạy CNTT'!I$6,0)</f>
        <v>0</v>
      </c>
      <c r="J16" s="109">
        <f>VLOOKUP($D16,'[2]Khung_CTĐT_CNTT_K30 (2024)'!$B$10:$L$96,'Ke hoach giảng dạy CNTT'!J$6,0)</f>
        <v>0</v>
      </c>
      <c r="K16" s="109" t="str">
        <f>VLOOKUP($D16,'[2]Khung_CTĐT_CNTT_K30 (2024)'!$B$10:$L$96,'Ke hoach giảng dạy CNTT'!K$6,0)</f>
        <v>BB</v>
      </c>
      <c r="L16" s="111" t="str">
        <f>VLOOKUP($D16,'[2]Khung_CTĐT_CNTT_K30 (2024)'!$B$10:$L$96,'Ke hoach giảng dạy CNTT'!L$6,0)</f>
        <v/>
      </c>
      <c r="M16" s="112" t="str">
        <f>VLOOKUP($D16,'[2]Khung_CTĐT_CNTT_K30 (2024)'!$B$10:$L$96,'Ke hoach giảng dạy CNTT'!M$6,0)</f>
        <v/>
      </c>
      <c r="N16" s="107"/>
      <c r="O16" s="108"/>
      <c r="Q16" s="133">
        <f t="shared" si="0"/>
        <v>1</v>
      </c>
      <c r="R16" s="10" t="str">
        <f>IFERROR(VLOOKUP(D16,$D$9:D15,1,0),"")</f>
        <v/>
      </c>
    </row>
    <row r="17" spans="1:18" ht="17.399999999999999" thickBot="1" x14ac:dyDescent="0.35">
      <c r="A17" s="181"/>
      <c r="B17" s="113"/>
      <c r="C17" s="113"/>
      <c r="D17" s="113"/>
      <c r="E17" s="114"/>
      <c r="F17" s="113"/>
      <c r="G17" s="113"/>
      <c r="H17" s="113"/>
      <c r="I17" s="113"/>
      <c r="J17" s="113"/>
      <c r="K17" s="113"/>
      <c r="L17" s="115"/>
      <c r="M17" s="116"/>
      <c r="N17" s="107"/>
      <c r="O17" s="108"/>
      <c r="Q17" s="133">
        <f t="shared" si="0"/>
        <v>1</v>
      </c>
      <c r="R17" s="10" t="str">
        <f>IFERROR(VLOOKUP(D17,$D$9:D16,1,0),"")</f>
        <v/>
      </c>
    </row>
    <row r="18" spans="1:18" x14ac:dyDescent="0.3">
      <c r="A18" s="182" t="s">
        <v>27</v>
      </c>
      <c r="B18" s="117">
        <v>2</v>
      </c>
      <c r="C18" s="117">
        <v>1</v>
      </c>
      <c r="D18" s="117" t="s">
        <v>28</v>
      </c>
      <c r="E18" s="118" t="str">
        <f>VLOOKUP($D18,'[2]Khung_CTĐT_CNTT_K30 (2024)'!$B$10:$L$96,'Ke hoach giảng dạy CNTT'!E$6,0)</f>
        <v>Triết học Mác-Lênin</v>
      </c>
      <c r="F18" s="117">
        <f>VLOOKUP($D18,'[2]Khung_CTĐT_CNTT_K30 (2024)'!$B$10:$L$96,'Ke hoach giảng dạy CNTT'!F$6,0)</f>
        <v>3</v>
      </c>
      <c r="G18" s="117">
        <f>VLOOKUP($D18,'[2]Khung_CTĐT_CNTT_K30 (2024)'!$B$10:$L$96,'Ke hoach giảng dạy CNTT'!G$6,0)</f>
        <v>45</v>
      </c>
      <c r="H18" s="117">
        <f>VLOOKUP($D18,'[2]Khung_CTĐT_CNTT_K30 (2024)'!$B$10:$L$96,'Ke hoach giảng dạy CNTT'!H$6,0)</f>
        <v>0</v>
      </c>
      <c r="I18" s="117">
        <f>VLOOKUP($D18,'[2]Khung_CTĐT_CNTT_K30 (2024)'!$B$10:$L$96,'Ke hoach giảng dạy CNTT'!I$6,0)</f>
        <v>0</v>
      </c>
      <c r="J18" s="117">
        <f>VLOOKUP($D18,'[2]Khung_CTĐT_CNTT_K30 (2024)'!$B$10:$L$96,'Ke hoach giảng dạy CNTT'!J$6,0)</f>
        <v>0</v>
      </c>
      <c r="K18" s="117" t="str">
        <f>VLOOKUP($D18,'[2]Khung_CTĐT_CNTT_K30 (2024)'!$B$10:$L$96,'Ke hoach giảng dạy CNTT'!K$6,0)</f>
        <v>BB</v>
      </c>
      <c r="L18" s="119" t="str">
        <f>VLOOKUP($D18,'[2]Khung_CTĐT_CNTT_K30 (2024)'!$B$10:$L$96,'Ke hoach giảng dạy CNTT'!L$6,0)</f>
        <v>Không</v>
      </c>
      <c r="M18" s="120" t="str">
        <f>VLOOKUP($D18,'[2]Khung_CTĐT_CNTT_K30 (2024)'!$B$10:$L$96,'Ke hoach giảng dạy CNTT'!M$6,0)</f>
        <v>Không</v>
      </c>
      <c r="N18" s="107">
        <f>SUM(F18:F22)</f>
        <v>16</v>
      </c>
      <c r="O18" s="108"/>
      <c r="P18" s="87">
        <f>P9+N18</f>
        <v>28</v>
      </c>
      <c r="Q18" s="133">
        <v>2</v>
      </c>
      <c r="R18" s="10" t="str">
        <f>IFERROR(VLOOKUP(D18,$D$9:D17,1,0),"")</f>
        <v/>
      </c>
    </row>
    <row r="19" spans="1:18" ht="27.6" x14ac:dyDescent="0.3">
      <c r="A19" s="180"/>
      <c r="B19" s="109">
        <v>2</v>
      </c>
      <c r="C19" s="109">
        <v>1</v>
      </c>
      <c r="D19" s="109" t="s">
        <v>29</v>
      </c>
      <c r="E19" s="110" t="str">
        <f>VLOOKUP($D19,'[2]Khung_CTĐT_CNTT_K30 (2024)'!$B$10:$L$96,'Ke hoach giảng dạy CNTT'!E$6,0)</f>
        <v>Anh văn 2 (AV2)</v>
      </c>
      <c r="F19" s="109">
        <f>VLOOKUP($D19,'[2]Khung_CTĐT_CNTT_K30 (2024)'!$B$10:$L$96,'Ke hoach giảng dạy CNTT'!F$6,0)</f>
        <v>3</v>
      </c>
      <c r="G19" s="109">
        <f>VLOOKUP($D19,'[2]Khung_CTĐT_CNTT_K30 (2024)'!$B$10:$L$96,'Ke hoach giảng dạy CNTT'!G$6,0)</f>
        <v>30</v>
      </c>
      <c r="H19" s="109">
        <f>VLOOKUP($D19,'[2]Khung_CTĐT_CNTT_K30 (2024)'!$B$10:$L$96,'Ke hoach giảng dạy CNTT'!H$6,0)</f>
        <v>30</v>
      </c>
      <c r="I19" s="109">
        <f>VLOOKUP($D19,'[2]Khung_CTĐT_CNTT_K30 (2024)'!$B$10:$L$96,'Ke hoach giảng dạy CNTT'!I$6,0)</f>
        <v>0</v>
      </c>
      <c r="J19" s="109">
        <f>VLOOKUP($D19,'[2]Khung_CTĐT_CNTT_K30 (2024)'!$B$10:$L$96,'Ke hoach giảng dạy CNTT'!J$6,0)</f>
        <v>0</v>
      </c>
      <c r="K19" s="109" t="str">
        <f>VLOOKUP($D19,'[2]Khung_CTĐT_CNTT_K30 (2024)'!$B$10:$L$96,'Ke hoach giảng dạy CNTT'!K$6,0)</f>
        <v>BB</v>
      </c>
      <c r="L19" s="111" t="str">
        <f>VLOOKUP($D19,'[2]Khung_CTĐT_CNTT_K30 (2024)'!$B$10:$L$96,'Ke hoach giảng dạy CNTT'!L$6,0)</f>
        <v>[71ENG110013]Anh văn 1 (AV1)</v>
      </c>
      <c r="M19" s="112" t="str">
        <f>VLOOKUP($D19,'[2]Khung_CTĐT_CNTT_K30 (2024)'!$B$10:$L$96,'Ke hoach giảng dạy CNTT'!M$6,0)</f>
        <v xml:space="preserve">Không </v>
      </c>
      <c r="N19" s="107"/>
      <c r="O19" s="108"/>
      <c r="Q19" s="133">
        <f t="shared" ref="Q19:Q23" si="1">Q18</f>
        <v>2</v>
      </c>
      <c r="R19" s="10" t="str">
        <f>IFERROR(VLOOKUP(D19,$D$9:D18,1,0),"")</f>
        <v/>
      </c>
    </row>
    <row r="20" spans="1:18" x14ac:dyDescent="0.3">
      <c r="A20" s="180"/>
      <c r="B20" s="109">
        <v>2</v>
      </c>
      <c r="C20" s="109">
        <v>1</v>
      </c>
      <c r="D20" s="109" t="s">
        <v>30</v>
      </c>
      <c r="E20" s="110" t="str">
        <f>VLOOKUP($D20,'[2]Khung_CTĐT_CNTT_K30 (2024)'!$B$10:$L$96,'Ke hoach giảng dạy CNTT'!E$6,0)</f>
        <v>Toán cao cấp và ứng dụng</v>
      </c>
      <c r="F20" s="109">
        <f>VLOOKUP($D20,'[2]Khung_CTĐT_CNTT_K30 (2024)'!$B$10:$L$96,'Ke hoach giảng dạy CNTT'!F$6,0)</f>
        <v>4</v>
      </c>
      <c r="G20" s="109">
        <f>VLOOKUP($D20,'[2]Khung_CTĐT_CNTT_K30 (2024)'!$B$10:$L$96,'Ke hoach giảng dạy CNTT'!G$6,0)</f>
        <v>45</v>
      </c>
      <c r="H20" s="109">
        <f>VLOOKUP($D20,'[2]Khung_CTĐT_CNTT_K30 (2024)'!$B$10:$L$96,'Ke hoach giảng dạy CNTT'!H$6,0)</f>
        <v>30</v>
      </c>
      <c r="I20" s="109">
        <f>VLOOKUP($D20,'[2]Khung_CTĐT_CNTT_K30 (2024)'!$B$10:$L$96,'Ke hoach giảng dạy CNTT'!I$6,0)</f>
        <v>0</v>
      </c>
      <c r="J20" s="109">
        <f>VLOOKUP($D20,'[2]Khung_CTĐT_CNTT_K30 (2024)'!$B$10:$L$96,'Ke hoach giảng dạy CNTT'!J$6,0)</f>
        <v>0</v>
      </c>
      <c r="K20" s="109" t="str">
        <f>VLOOKUP($D20,'[2]Khung_CTĐT_CNTT_K30 (2024)'!$B$10:$L$96,'Ke hoach giảng dạy CNTT'!K$6,0)</f>
        <v>BB</v>
      </c>
      <c r="L20" s="111" t="str">
        <f>VLOOKUP($D20,'[2]Khung_CTĐT_CNTT_K30 (2024)'!$B$10:$L$96,'Ke hoach giảng dạy CNTT'!L$6,0)</f>
        <v>Không</v>
      </c>
      <c r="M20" s="112" t="str">
        <f>VLOOKUP($D20,'[2]Khung_CTĐT_CNTT_K30 (2024)'!$B$10:$L$96,'Ke hoach giảng dạy CNTT'!M$6,0)</f>
        <v xml:space="preserve">Không </v>
      </c>
      <c r="N20" s="107"/>
      <c r="O20" s="108"/>
      <c r="Q20" s="133">
        <f t="shared" si="1"/>
        <v>2</v>
      </c>
      <c r="R20" s="10" t="str">
        <f>IFERROR(VLOOKUP(D20,$D$9:D19,1,0),"")</f>
        <v/>
      </c>
    </row>
    <row r="21" spans="1:18" ht="27.6" x14ac:dyDescent="0.3">
      <c r="A21" s="180"/>
      <c r="B21" s="109">
        <v>2</v>
      </c>
      <c r="C21" s="109">
        <v>1</v>
      </c>
      <c r="D21" s="109" t="s">
        <v>31</v>
      </c>
      <c r="E21" s="110" t="str">
        <f>VLOOKUP($D21,'[2]Khung_CTĐT_CNTT_K30 (2024)'!$B$10:$L$96,'Ke hoach giảng dạy CNTT'!E$6,0)</f>
        <v xml:space="preserve">Nhập môn Mạng máy tính và điện toán đám mây </v>
      </c>
      <c r="F21" s="109">
        <f>VLOOKUP($D21,'[2]Khung_CTĐT_CNTT_K30 (2024)'!$B$10:$L$96,'Ke hoach giảng dạy CNTT'!F$6,0)</f>
        <v>3</v>
      </c>
      <c r="G21" s="109">
        <f>VLOOKUP($D21,'[2]Khung_CTĐT_CNTT_K30 (2024)'!$B$10:$L$96,'Ke hoach giảng dạy CNTT'!G$6,0)</f>
        <v>30</v>
      </c>
      <c r="H21" s="109">
        <f>VLOOKUP($D21,'[2]Khung_CTĐT_CNTT_K30 (2024)'!$B$10:$L$96,'Ke hoach giảng dạy CNTT'!H$6,0)</f>
        <v>30</v>
      </c>
      <c r="I21" s="109">
        <f>VLOOKUP($D21,'[2]Khung_CTĐT_CNTT_K30 (2024)'!$B$10:$L$96,'Ke hoach giảng dạy CNTT'!I$6,0)</f>
        <v>0</v>
      </c>
      <c r="J21" s="109">
        <f>VLOOKUP($D21,'[2]Khung_CTĐT_CNTT_K30 (2024)'!$B$10:$L$96,'Ke hoach giảng dạy CNTT'!J$6,0)</f>
        <v>0</v>
      </c>
      <c r="K21" s="109" t="str">
        <f>VLOOKUP($D21,'[2]Khung_CTĐT_CNTT_K30 (2024)'!$B$10:$L$96,'Ke hoach giảng dạy CNTT'!K$6,0)</f>
        <v>BB</v>
      </c>
      <c r="L21" s="111" t="str">
        <f>VLOOKUP($D21,'[2]Khung_CTĐT_CNTT_K30 (2024)'!$B$10:$L$96,'Ke hoach giảng dạy CNTT'!L$6,0)</f>
        <v>Không</v>
      </c>
      <c r="M21" s="112" t="str">
        <f>VLOOKUP($D21,'[2]Khung_CTĐT_CNTT_K30 (2024)'!$B$10:$L$96,'Ke hoach giảng dạy CNTT'!M$6,0)</f>
        <v>Không</v>
      </c>
      <c r="N21" s="107"/>
      <c r="O21" s="108"/>
      <c r="Q21" s="133">
        <f t="shared" si="1"/>
        <v>2</v>
      </c>
      <c r="R21" s="10" t="str">
        <f>IFERROR(VLOOKUP(D21,$D$9:D20,1,0),"")</f>
        <v/>
      </c>
    </row>
    <row r="22" spans="1:18" x14ac:dyDescent="0.3">
      <c r="A22" s="180"/>
      <c r="B22" s="109">
        <v>2</v>
      </c>
      <c r="C22" s="109">
        <v>1</v>
      </c>
      <c r="D22" s="109" t="s">
        <v>32</v>
      </c>
      <c r="E22" s="110" t="str">
        <f>VLOOKUP($D22,'[2]Khung_CTĐT_CNTT_K30 (2024)'!$B$10:$L$96,'Ke hoach giảng dạy CNTT'!E$6,0)</f>
        <v xml:space="preserve">Kỹ thuật lập trình </v>
      </c>
      <c r="F22" s="109">
        <f>VLOOKUP($D22,'[2]Khung_CTĐT_CNTT_K30 (2024)'!$B$10:$L$96,'Ke hoach giảng dạy CNTT'!F$6,0)</f>
        <v>3</v>
      </c>
      <c r="G22" s="109">
        <f>VLOOKUP($D22,'[2]Khung_CTĐT_CNTT_K30 (2024)'!$B$10:$L$96,'Ke hoach giảng dạy CNTT'!G$6,0)</f>
        <v>30</v>
      </c>
      <c r="H22" s="109">
        <f>VLOOKUP($D22,'[2]Khung_CTĐT_CNTT_K30 (2024)'!$B$10:$L$96,'Ke hoach giảng dạy CNTT'!H$6,0)</f>
        <v>30</v>
      </c>
      <c r="I22" s="109">
        <f>VLOOKUP($D22,'[2]Khung_CTĐT_CNTT_K30 (2024)'!$B$10:$L$96,'Ke hoach giảng dạy CNTT'!I$6,0)</f>
        <v>0</v>
      </c>
      <c r="J22" s="109">
        <f>VLOOKUP($D22,'[2]Khung_CTĐT_CNTT_K30 (2024)'!$B$10:$L$96,'Ke hoach giảng dạy CNTT'!J$6,0)</f>
        <v>0</v>
      </c>
      <c r="K22" s="109" t="str">
        <f>VLOOKUP($D22,'[2]Khung_CTĐT_CNTT_K30 (2024)'!$B$10:$L$96,'Ke hoach giảng dạy CNTT'!K$6,0)</f>
        <v>BB</v>
      </c>
      <c r="L22" s="111" t="str">
        <f>VLOOKUP($D22,'[2]Khung_CTĐT_CNTT_K30 (2024)'!$B$10:$L$96,'Ke hoach giảng dạy CNTT'!L$6,0)</f>
        <v>Không</v>
      </c>
      <c r="M22" s="112" t="str">
        <f>VLOOKUP($D22,'[2]Khung_CTĐT_CNTT_K30 (2024)'!$B$10:$L$96,'Ke hoach giảng dạy CNTT'!M$6,0)</f>
        <v>[71ITBS10203]Cơ sở lập trình</v>
      </c>
      <c r="N22" s="107"/>
      <c r="O22" s="108"/>
      <c r="Q22" s="133">
        <f t="shared" si="1"/>
        <v>2</v>
      </c>
      <c r="R22" s="10" t="str">
        <f>IFERROR(VLOOKUP(D22,$D$9:D21,1,0),"")</f>
        <v/>
      </c>
    </row>
    <row r="23" spans="1:18" ht="17.399999999999999" thickBot="1" x14ac:dyDescent="0.35">
      <c r="A23" s="180"/>
      <c r="B23" s="121"/>
      <c r="C23" s="121"/>
      <c r="D23" s="121"/>
      <c r="E23" s="122"/>
      <c r="F23" s="121"/>
      <c r="G23" s="121"/>
      <c r="H23" s="121"/>
      <c r="I23" s="121"/>
      <c r="J23" s="121"/>
      <c r="K23" s="121"/>
      <c r="L23" s="123"/>
      <c r="M23" s="124"/>
      <c r="N23" s="107"/>
      <c r="O23" s="108"/>
      <c r="Q23" s="133">
        <f t="shared" si="1"/>
        <v>2</v>
      </c>
      <c r="R23" s="10" t="str">
        <f>IFERROR(VLOOKUP(D23,$D$9:D22,1,0),"")</f>
        <v/>
      </c>
    </row>
    <row r="24" spans="1:18" x14ac:dyDescent="0.3">
      <c r="A24" s="179" t="s">
        <v>33</v>
      </c>
      <c r="B24" s="103">
        <v>3</v>
      </c>
      <c r="C24" s="103">
        <v>1</v>
      </c>
      <c r="D24" s="103" t="s">
        <v>34</v>
      </c>
      <c r="E24" s="104" t="str">
        <f>VLOOKUP($D24,'[2]Khung_CTĐT_CNTT_K30 (2024)'!$B$10:$L$96,'Ke hoach giảng dạy CNTT'!E$6,0)</f>
        <v>Kinh tế chính trị Mác-Lênin</v>
      </c>
      <c r="F24" s="103">
        <f>VLOOKUP($D24,'[2]Khung_CTĐT_CNTT_K30 (2024)'!$B$10:$L$96,'Ke hoach giảng dạy CNTT'!F$6,0)</f>
        <v>2</v>
      </c>
      <c r="G24" s="103">
        <f>VLOOKUP($D24,'[2]Khung_CTĐT_CNTT_K30 (2024)'!$B$10:$L$96,'Ke hoach giảng dạy CNTT'!G$6,0)</f>
        <v>30</v>
      </c>
      <c r="H24" s="103">
        <f>VLOOKUP($D24,'[2]Khung_CTĐT_CNTT_K30 (2024)'!$B$10:$L$96,'Ke hoach giảng dạy CNTT'!H$6,0)</f>
        <v>0</v>
      </c>
      <c r="I24" s="103">
        <f>VLOOKUP($D24,'[2]Khung_CTĐT_CNTT_K30 (2024)'!$B$10:$L$96,'Ke hoach giảng dạy CNTT'!I$6,0)</f>
        <v>0</v>
      </c>
      <c r="J24" s="103">
        <f>VLOOKUP($D24,'[2]Khung_CTĐT_CNTT_K30 (2024)'!$B$10:$L$96,'Ke hoach giảng dạy CNTT'!J$6,0)</f>
        <v>0</v>
      </c>
      <c r="K24" s="103" t="str">
        <f>VLOOKUP($D24,'[2]Khung_CTĐT_CNTT_K30 (2024)'!$B$10:$L$96,'Ke hoach giảng dạy CNTT'!K$6,0)</f>
        <v>BB</v>
      </c>
      <c r="L24" s="105" t="str">
        <f>VLOOKUP($D24,'[2]Khung_CTĐT_CNTT_K30 (2024)'!$B$10:$L$96,'Ke hoach giảng dạy CNTT'!L$6,0)</f>
        <v>Không</v>
      </c>
      <c r="M24" s="106" t="str">
        <f>VLOOKUP($D24,'[2]Khung_CTĐT_CNTT_K30 (2024)'!$B$10:$L$96,'Ke hoach giảng dạy CNTT'!M$6,0)</f>
        <v>[71POLP10013]Triết học Mác-Lênin</v>
      </c>
      <c r="N24" s="107">
        <f>SUM(F24:F28)</f>
        <v>14</v>
      </c>
      <c r="O24" s="108"/>
      <c r="P24" s="87">
        <f>P18+N24</f>
        <v>42</v>
      </c>
      <c r="Q24" s="133">
        <v>3</v>
      </c>
      <c r="R24" s="10" t="str">
        <f>IFERROR(VLOOKUP(D24,$D$9:D23,1,0),"")</f>
        <v/>
      </c>
    </row>
    <row r="25" spans="1:18" ht="27.6" x14ac:dyDescent="0.3">
      <c r="A25" s="180"/>
      <c r="B25" s="109">
        <v>3</v>
      </c>
      <c r="C25" s="109">
        <v>1</v>
      </c>
      <c r="D25" s="109" t="s">
        <v>35</v>
      </c>
      <c r="E25" s="110" t="str">
        <f>VLOOKUP($D25,'[2]Khung_CTĐT_CNTT_K30 (2024)'!$B$10:$L$96,'Ke hoach giảng dạy CNTT'!E$6,0)</f>
        <v>Anh văn 3 (AV3)</v>
      </c>
      <c r="F25" s="109">
        <f>VLOOKUP($D25,'[2]Khung_CTĐT_CNTT_K30 (2024)'!$B$10:$L$96,'Ke hoach giảng dạy CNTT'!F$6,0)</f>
        <v>3</v>
      </c>
      <c r="G25" s="109">
        <f>VLOOKUP($D25,'[2]Khung_CTĐT_CNTT_K30 (2024)'!$B$10:$L$96,'Ke hoach giảng dạy CNTT'!G$6,0)</f>
        <v>30</v>
      </c>
      <c r="H25" s="109">
        <f>VLOOKUP($D25,'[2]Khung_CTĐT_CNTT_K30 (2024)'!$B$10:$L$96,'Ke hoach giảng dạy CNTT'!H$6,0)</f>
        <v>30</v>
      </c>
      <c r="I25" s="109">
        <f>VLOOKUP($D25,'[2]Khung_CTĐT_CNTT_K30 (2024)'!$B$10:$L$96,'Ke hoach giảng dạy CNTT'!I$6,0)</f>
        <v>0</v>
      </c>
      <c r="J25" s="109">
        <f>VLOOKUP($D25,'[2]Khung_CTĐT_CNTT_K30 (2024)'!$B$10:$L$96,'Ke hoach giảng dạy CNTT'!J$6,0)</f>
        <v>0</v>
      </c>
      <c r="K25" s="109" t="str">
        <f>VLOOKUP($D25,'[2]Khung_CTĐT_CNTT_K30 (2024)'!$B$10:$L$96,'Ke hoach giảng dạy CNTT'!K$6,0)</f>
        <v>BB</v>
      </c>
      <c r="L25" s="111" t="str">
        <f>VLOOKUP($D25,'[2]Khung_CTĐT_CNTT_K30 (2024)'!$B$10:$L$96,'Ke hoach giảng dạy CNTT'!L$6,0)</f>
        <v>[71ENG210023]Anh văn 2 (AV2)</v>
      </c>
      <c r="M25" s="112" t="str">
        <f>VLOOKUP($D25,'[2]Khung_CTĐT_CNTT_K30 (2024)'!$B$10:$L$96,'Ke hoach giảng dạy CNTT'!M$6,0)</f>
        <v xml:space="preserve">Không </v>
      </c>
      <c r="N25" s="107"/>
      <c r="O25" s="108"/>
      <c r="Q25" s="133">
        <f t="shared" ref="Q25:Q29" si="2">Q24</f>
        <v>3</v>
      </c>
      <c r="R25" s="10" t="str">
        <f>IFERROR(VLOOKUP(D25,$D$9:D24,1,0),"")</f>
        <v/>
      </c>
    </row>
    <row r="26" spans="1:18" ht="20.399999999999999" customHeight="1" x14ac:dyDescent="0.3">
      <c r="A26" s="180"/>
      <c r="B26" s="109">
        <v>3</v>
      </c>
      <c r="C26" s="109">
        <v>1</v>
      </c>
      <c r="D26" s="109" t="s">
        <v>36</v>
      </c>
      <c r="E26" s="110" t="str">
        <f>VLOOKUP($D26,'[2]Khung_CTĐT_CNTT_K30 (2024)'!$B$10:$L$96,'Ke hoach giảng dạy CNTT'!E$6,0)</f>
        <v xml:space="preserve">Cơ sở dữ liệu </v>
      </c>
      <c r="F26" s="109">
        <f>VLOOKUP($D26,'[2]Khung_CTĐT_CNTT_K30 (2024)'!$B$10:$L$96,'Ke hoach giảng dạy CNTT'!F$6,0)</f>
        <v>3</v>
      </c>
      <c r="G26" s="109">
        <f>VLOOKUP($D26,'[2]Khung_CTĐT_CNTT_K30 (2024)'!$B$10:$L$96,'Ke hoach giảng dạy CNTT'!G$6,0)</f>
        <v>30</v>
      </c>
      <c r="H26" s="109">
        <f>VLOOKUP($D26,'[2]Khung_CTĐT_CNTT_K30 (2024)'!$B$10:$L$96,'Ke hoach giảng dạy CNTT'!H$6,0)</f>
        <v>30</v>
      </c>
      <c r="I26" s="109">
        <f>VLOOKUP($D26,'[2]Khung_CTĐT_CNTT_K30 (2024)'!$B$10:$L$96,'Ke hoach giảng dạy CNTT'!I$6,0)</f>
        <v>0</v>
      </c>
      <c r="J26" s="109">
        <f>VLOOKUP($D26,'[2]Khung_CTĐT_CNTT_K30 (2024)'!$B$10:$L$96,'Ke hoach giảng dạy CNTT'!J$6,0)</f>
        <v>0</v>
      </c>
      <c r="K26" s="109" t="str">
        <f>VLOOKUP($D26,'[2]Khung_CTĐT_CNTT_K30 (2024)'!$B$10:$L$96,'Ke hoach giảng dạy CNTT'!K$6,0)</f>
        <v>BB</v>
      </c>
      <c r="L26" s="111" t="str">
        <f>VLOOKUP($D26,'[2]Khung_CTĐT_CNTT_K30 (2024)'!$B$10:$L$96,'Ke hoach giảng dạy CNTT'!L$6,0)</f>
        <v>Không</v>
      </c>
      <c r="M26" s="112" t="str">
        <f>VLOOKUP($D26,'[2]Khung_CTĐT_CNTT_K30 (2024)'!$B$10:$L$96,'Ke hoach giảng dạy CNTT'!M$6,0)</f>
        <v>Không</v>
      </c>
      <c r="N26" s="107"/>
      <c r="O26" s="108"/>
      <c r="Q26" s="133">
        <f t="shared" si="2"/>
        <v>3</v>
      </c>
      <c r="R26" s="10" t="str">
        <f>IFERROR(VLOOKUP(D26,$D$9:D25,1,0),"")</f>
        <v/>
      </c>
    </row>
    <row r="27" spans="1:18" x14ac:dyDescent="0.3">
      <c r="A27" s="180"/>
      <c r="B27" s="109">
        <v>3</v>
      </c>
      <c r="C27" s="109">
        <v>1</v>
      </c>
      <c r="D27" s="109" t="s">
        <v>37</v>
      </c>
      <c r="E27" s="110" t="str">
        <f>VLOOKUP($D27,'[2]Khung_CTĐT_CNTT_K30 (2024)'!$B$10:$L$96,'Ke hoach giảng dạy CNTT'!E$6,0)</f>
        <v xml:space="preserve">Cấu trúc dữ liệu và giải thuật </v>
      </c>
      <c r="F27" s="109">
        <f>VLOOKUP($D27,'[2]Khung_CTĐT_CNTT_K30 (2024)'!$B$10:$L$96,'Ke hoach giảng dạy CNTT'!F$6,0)</f>
        <v>3</v>
      </c>
      <c r="G27" s="109">
        <f>VLOOKUP($D27,'[2]Khung_CTĐT_CNTT_K30 (2024)'!$B$10:$L$96,'Ke hoach giảng dạy CNTT'!G$6,0)</f>
        <v>30</v>
      </c>
      <c r="H27" s="109">
        <f>VLOOKUP($D27,'[2]Khung_CTĐT_CNTT_K30 (2024)'!$B$10:$L$96,'Ke hoach giảng dạy CNTT'!H$6,0)</f>
        <v>30</v>
      </c>
      <c r="I27" s="109">
        <f>VLOOKUP($D27,'[2]Khung_CTĐT_CNTT_K30 (2024)'!$B$10:$L$96,'Ke hoach giảng dạy CNTT'!I$6,0)</f>
        <v>0</v>
      </c>
      <c r="J27" s="109">
        <f>VLOOKUP($D27,'[2]Khung_CTĐT_CNTT_K30 (2024)'!$B$10:$L$96,'Ke hoach giảng dạy CNTT'!J$6,0)</f>
        <v>0</v>
      </c>
      <c r="K27" s="109" t="str">
        <f>VLOOKUP($D27,'[2]Khung_CTĐT_CNTT_K30 (2024)'!$B$10:$L$96,'Ke hoach giảng dạy CNTT'!K$6,0)</f>
        <v>BB</v>
      </c>
      <c r="L27" s="111" t="str">
        <f>VLOOKUP($D27,'[2]Khung_CTĐT_CNTT_K30 (2024)'!$B$10:$L$96,'Ke hoach giảng dạy CNTT'!L$6,0)</f>
        <v>Không</v>
      </c>
      <c r="M27" s="112" t="str">
        <f>VLOOKUP($D27,'[2]Khung_CTĐT_CNTT_K30 (2024)'!$B$10:$L$96,'Ke hoach giảng dạy CNTT'!M$6,0)</f>
        <v>[71ITBS10203]Cơ sở lập trình</v>
      </c>
      <c r="N27" s="107"/>
      <c r="O27" s="108"/>
      <c r="Q27" s="133">
        <f t="shared" si="2"/>
        <v>3</v>
      </c>
      <c r="R27" s="10" t="str">
        <f>IFERROR(VLOOKUP(D27,$D$9:D26,1,0),"")</f>
        <v/>
      </c>
    </row>
    <row r="28" spans="1:18" x14ac:dyDescent="0.3">
      <c r="A28" s="180"/>
      <c r="B28" s="109">
        <v>3</v>
      </c>
      <c r="C28" s="109">
        <v>1</v>
      </c>
      <c r="D28" s="109" t="s">
        <v>38</v>
      </c>
      <c r="E28" s="110" t="str">
        <f>VLOOKUP($D28,'[2]Khung_CTĐT_CNTT_K30 (2024)'!$B$10:$L$96,'Ke hoach giảng dạy CNTT'!E$6,0)</f>
        <v>Đại số tuyến tính và ứng dụng</v>
      </c>
      <c r="F28" s="109">
        <f>VLOOKUP($D28,'[2]Khung_CTĐT_CNTT_K30 (2024)'!$B$10:$L$96,'Ke hoach giảng dạy CNTT'!F$6,0)</f>
        <v>3</v>
      </c>
      <c r="G28" s="109">
        <f>VLOOKUP($D28,'[2]Khung_CTĐT_CNTT_K30 (2024)'!$B$10:$L$96,'Ke hoach giảng dạy CNTT'!G$6,0)</f>
        <v>30</v>
      </c>
      <c r="H28" s="109">
        <f>VLOOKUP($D28,'[2]Khung_CTĐT_CNTT_K30 (2024)'!$B$10:$L$96,'Ke hoach giảng dạy CNTT'!H$6,0)</f>
        <v>30</v>
      </c>
      <c r="I28" s="109">
        <f>VLOOKUP($D28,'[2]Khung_CTĐT_CNTT_K30 (2024)'!$B$10:$L$96,'Ke hoach giảng dạy CNTT'!I$6,0)</f>
        <v>0</v>
      </c>
      <c r="J28" s="109">
        <f>VLOOKUP($D28,'[2]Khung_CTĐT_CNTT_K30 (2024)'!$B$10:$L$96,'Ke hoach giảng dạy CNTT'!J$6,0)</f>
        <v>0</v>
      </c>
      <c r="K28" s="109" t="str">
        <f>VLOOKUP($D28,'[2]Khung_CTĐT_CNTT_K30 (2024)'!$B$10:$L$96,'Ke hoach giảng dạy CNTT'!K$6,0)</f>
        <v>BB</v>
      </c>
      <c r="L28" s="111" t="str">
        <f>VLOOKUP($D28,'[2]Khung_CTĐT_CNTT_K30 (2024)'!$B$10:$L$96,'Ke hoach giảng dạy CNTT'!L$6,0)</f>
        <v>Không</v>
      </c>
      <c r="M28" s="112" t="str">
        <f>VLOOKUP($D28,'[2]Khung_CTĐT_CNTT_K30 (2024)'!$B$10:$L$96,'Ke hoach giảng dạy CNTT'!M$6,0)</f>
        <v xml:space="preserve">Không </v>
      </c>
      <c r="N28" s="107"/>
      <c r="O28" s="108"/>
      <c r="Q28" s="133">
        <f t="shared" si="2"/>
        <v>3</v>
      </c>
      <c r="R28" s="10" t="str">
        <f>IFERROR(VLOOKUP(D28,$D$9:D27,1,0),"")</f>
        <v/>
      </c>
    </row>
    <row r="29" spans="1:18" ht="17.399999999999999" thickBot="1" x14ac:dyDescent="0.35">
      <c r="A29" s="181"/>
      <c r="B29" s="27"/>
      <c r="C29" s="27"/>
      <c r="D29" s="28"/>
      <c r="E29" s="50"/>
      <c r="F29" s="51"/>
      <c r="G29" s="51"/>
      <c r="H29" s="51"/>
      <c r="I29" s="51"/>
      <c r="J29" s="51"/>
      <c r="K29" s="51"/>
      <c r="L29" s="52"/>
      <c r="M29" s="53"/>
      <c r="N29" s="89"/>
      <c r="O29" s="70"/>
      <c r="Q29" s="133">
        <f t="shared" si="2"/>
        <v>3</v>
      </c>
      <c r="R29" s="10" t="str">
        <f>IFERROR(VLOOKUP(D29,$D$9:D28,1,0),"")</f>
        <v/>
      </c>
    </row>
    <row r="30" spans="1:18" x14ac:dyDescent="0.3">
      <c r="A30" s="185" t="s">
        <v>39</v>
      </c>
      <c r="B30" s="139">
        <v>1</v>
      </c>
      <c r="C30" s="139">
        <v>2</v>
      </c>
      <c r="D30" s="139"/>
      <c r="E30" s="140"/>
      <c r="F30" s="139"/>
      <c r="G30" s="139"/>
      <c r="H30" s="139"/>
      <c r="I30" s="139"/>
      <c r="J30" s="139"/>
      <c r="K30" s="139"/>
      <c r="L30" s="141"/>
      <c r="M30" s="142"/>
      <c r="N30" s="143">
        <f>SUM(F30:F34)</f>
        <v>13</v>
      </c>
      <c r="O30" s="144"/>
      <c r="P30" s="87">
        <f>P24+N30</f>
        <v>55</v>
      </c>
      <c r="Q30" s="133">
        <v>4</v>
      </c>
      <c r="R30" s="10" t="str">
        <f>IFERROR(VLOOKUP(D30,$D$9:D29,1,0),"")</f>
        <v/>
      </c>
    </row>
    <row r="31" spans="1:18" ht="27.6" x14ac:dyDescent="0.3">
      <c r="A31" s="184"/>
      <c r="B31" s="145">
        <v>1</v>
      </c>
      <c r="C31" s="145">
        <v>2</v>
      </c>
      <c r="D31" s="145" t="s">
        <v>40</v>
      </c>
      <c r="E31" s="146" t="str">
        <f>VLOOKUP($D31,'[2]Khung_CTĐT_CNTT_K30 (2024)'!$B$10:$L$96,'Ke hoach giảng dạy CNTT'!E$6,0)</f>
        <v>Anh văn 4 (AV4)</v>
      </c>
      <c r="F31" s="145">
        <f>VLOOKUP($D31,'[2]Khung_CTĐT_CNTT_K30 (2024)'!$B$10:$L$96,'Ke hoach giảng dạy CNTT'!F$6,0)</f>
        <v>3</v>
      </c>
      <c r="G31" s="145">
        <f>VLOOKUP($D31,'[2]Khung_CTĐT_CNTT_K30 (2024)'!$B$10:$L$96,'Ke hoach giảng dạy CNTT'!G$6,0)</f>
        <v>30</v>
      </c>
      <c r="H31" s="145">
        <f>VLOOKUP($D31,'[2]Khung_CTĐT_CNTT_K30 (2024)'!$B$10:$L$96,'Ke hoach giảng dạy CNTT'!H$6,0)</f>
        <v>30</v>
      </c>
      <c r="I31" s="145">
        <f>VLOOKUP($D31,'[2]Khung_CTĐT_CNTT_K30 (2024)'!$B$10:$L$96,'Ke hoach giảng dạy CNTT'!I$6,0)</f>
        <v>0</v>
      </c>
      <c r="J31" s="145">
        <f>VLOOKUP($D31,'[2]Khung_CTĐT_CNTT_K30 (2024)'!$B$10:$L$96,'Ke hoach giảng dạy CNTT'!J$6,0)</f>
        <v>0</v>
      </c>
      <c r="K31" s="145" t="str">
        <f>VLOOKUP($D31,'[2]Khung_CTĐT_CNTT_K30 (2024)'!$B$10:$L$96,'Ke hoach giảng dạy CNTT'!K$6,0)</f>
        <v>BB</v>
      </c>
      <c r="L31" s="147" t="str">
        <f>VLOOKUP($D31,'[2]Khung_CTĐT_CNTT_K30 (2024)'!$B$10:$L$96,'Ke hoach giảng dạy CNTT'!L$6,0)</f>
        <v>[71ENG310033]Anh văn 3 (AV3)</v>
      </c>
      <c r="M31" s="148" t="str">
        <f>VLOOKUP($D31,'[2]Khung_CTĐT_CNTT_K30 (2024)'!$B$10:$L$96,'Ke hoach giảng dạy CNTT'!M$6,0)</f>
        <v xml:space="preserve">Không </v>
      </c>
      <c r="N31" s="143"/>
      <c r="O31" s="144"/>
      <c r="Q31" s="133">
        <f t="shared" ref="Q31:Q34" si="3">Q30</f>
        <v>4</v>
      </c>
      <c r="R31" s="10" t="str">
        <f>IFERROR(VLOOKUP(D31,$D$9:D30,1,0),"")</f>
        <v/>
      </c>
    </row>
    <row r="32" spans="1:18" x14ac:dyDescent="0.3">
      <c r="A32" s="184"/>
      <c r="B32" s="145">
        <v>1</v>
      </c>
      <c r="C32" s="145">
        <v>2</v>
      </c>
      <c r="D32" s="145" t="s">
        <v>352</v>
      </c>
      <c r="E32" s="146" t="str">
        <f>VLOOKUP($D32,'[2]Khung_CTĐT_CNTT_K30 (2024)'!$B$10:$L$96,'Ke hoach giảng dạy CNTT'!E$6,0)</f>
        <v xml:space="preserve">Toán rời rạc </v>
      </c>
      <c r="F32" s="145">
        <f>VLOOKUP($D32,'[2]Khung_CTĐT_CNTT_K30 (2024)'!$B$10:$L$96,'Ke hoach giảng dạy CNTT'!F$6,0)</f>
        <v>4</v>
      </c>
      <c r="G32" s="145">
        <f>VLOOKUP($D32,'[2]Khung_CTĐT_CNTT_K30 (2024)'!$B$10:$L$96,'Ke hoach giảng dạy CNTT'!G$6,0)</f>
        <v>45</v>
      </c>
      <c r="H32" s="145">
        <f>VLOOKUP($D32,'[2]Khung_CTĐT_CNTT_K30 (2024)'!$B$10:$L$96,'Ke hoach giảng dạy CNTT'!H$6,0)</f>
        <v>30</v>
      </c>
      <c r="I32" s="145">
        <f>VLOOKUP($D32,'[2]Khung_CTĐT_CNTT_K30 (2024)'!$B$10:$L$96,'Ke hoach giảng dạy CNTT'!I$6,0)</f>
        <v>0</v>
      </c>
      <c r="J32" s="145">
        <f>VLOOKUP($D32,'[2]Khung_CTĐT_CNTT_K30 (2024)'!$B$10:$L$96,'Ke hoach giảng dạy CNTT'!J$6,0)</f>
        <v>0</v>
      </c>
      <c r="K32" s="145" t="str">
        <f>VLOOKUP($D32,'[2]Khung_CTĐT_CNTT_K30 (2024)'!$B$10:$L$96,'Ke hoach giảng dạy CNTT'!K$6,0)</f>
        <v>BB</v>
      </c>
      <c r="L32" s="147" t="str">
        <f>VLOOKUP($D32,'[2]Khung_CTĐT_CNTT_K30 (2024)'!$B$10:$L$96,'Ke hoach giảng dạy CNTT'!L$6,0)</f>
        <v>Không</v>
      </c>
      <c r="M32" s="148" t="str">
        <f>VLOOKUP($D32,'[2]Khung_CTĐT_CNTT_K30 (2024)'!$B$10:$L$96,'Ke hoach giảng dạy CNTT'!M$6,0)</f>
        <v>[71ITMA10104]Toán cao cấp và ứng dụng</v>
      </c>
      <c r="N32" s="143"/>
      <c r="O32" s="144"/>
      <c r="Q32" s="133">
        <f t="shared" si="3"/>
        <v>4</v>
      </c>
      <c r="R32" s="10" t="str">
        <f>IFERROR(VLOOKUP(D32,$D$9:D31,1,0),"")</f>
        <v/>
      </c>
    </row>
    <row r="33" spans="1:20" x14ac:dyDescent="0.3">
      <c r="A33" s="184"/>
      <c r="B33" s="145">
        <v>1</v>
      </c>
      <c r="C33" s="145">
        <v>2</v>
      </c>
      <c r="D33" s="145" t="s">
        <v>41</v>
      </c>
      <c r="E33" s="146" t="str">
        <f>VLOOKUP($D33,'[2]Khung_CTĐT_CNTT_K30 (2024)'!$B$10:$L$96,'Ke hoach giảng dạy CNTT'!E$6,0)</f>
        <v xml:space="preserve">Lập trình hướng đối tượng </v>
      </c>
      <c r="F33" s="145">
        <f>VLOOKUP($D33,'[2]Khung_CTĐT_CNTT_K30 (2024)'!$B$10:$L$96,'Ke hoach giảng dạy CNTT'!F$6,0)</f>
        <v>3</v>
      </c>
      <c r="G33" s="145">
        <f>VLOOKUP($D33,'[2]Khung_CTĐT_CNTT_K30 (2024)'!$B$10:$L$96,'Ke hoach giảng dạy CNTT'!G$6,0)</f>
        <v>30</v>
      </c>
      <c r="H33" s="145">
        <f>VLOOKUP($D33,'[2]Khung_CTĐT_CNTT_K30 (2024)'!$B$10:$L$96,'Ke hoach giảng dạy CNTT'!H$6,0)</f>
        <v>30</v>
      </c>
      <c r="I33" s="145">
        <f>VLOOKUP($D33,'[2]Khung_CTĐT_CNTT_K30 (2024)'!$B$10:$L$96,'Ke hoach giảng dạy CNTT'!I$6,0)</f>
        <v>0</v>
      </c>
      <c r="J33" s="145">
        <f>VLOOKUP($D33,'[2]Khung_CTĐT_CNTT_K30 (2024)'!$B$10:$L$96,'Ke hoach giảng dạy CNTT'!J$6,0)</f>
        <v>0</v>
      </c>
      <c r="K33" s="145" t="str">
        <f>VLOOKUP($D33,'[2]Khung_CTĐT_CNTT_K30 (2024)'!$B$10:$L$96,'Ke hoach giảng dạy CNTT'!K$6,0)</f>
        <v>BB</v>
      </c>
      <c r="L33" s="147" t="str">
        <f>VLOOKUP($D33,'[2]Khung_CTĐT_CNTT_K30 (2024)'!$B$10:$L$96,'Ke hoach giảng dạy CNTT'!L$6,0)</f>
        <v>Không</v>
      </c>
      <c r="M33" s="148" t="str">
        <f>VLOOKUP($D33,'[2]Khung_CTĐT_CNTT_K30 (2024)'!$B$10:$L$96,'Ke hoach giảng dạy CNTT'!M$6,0)</f>
        <v>[71ITBS10203]Cơ sở lập trình</v>
      </c>
      <c r="N33" s="143"/>
      <c r="O33" s="144"/>
      <c r="Q33" s="133">
        <f t="shared" si="3"/>
        <v>4</v>
      </c>
      <c r="R33" s="10" t="str">
        <f>IFERROR(VLOOKUP(D33,$D$9:D32,1,0),"")</f>
        <v/>
      </c>
    </row>
    <row r="34" spans="1:20" ht="17.399999999999999" thickBot="1" x14ac:dyDescent="0.35">
      <c r="A34" s="184"/>
      <c r="B34" s="149">
        <v>1</v>
      </c>
      <c r="C34" s="149">
        <v>2</v>
      </c>
      <c r="D34" s="149" t="s">
        <v>42</v>
      </c>
      <c r="E34" s="150" t="str">
        <f>VLOOKUP($D34,'[2]Khung_CTĐT_CNTT_K30 (2024)'!$B$10:$L$96,'Ke hoach giảng dạy CNTT'!E$6,0)</f>
        <v xml:space="preserve">Lập trình ứng dụng Web </v>
      </c>
      <c r="F34" s="149">
        <f>VLOOKUP($D34,'[2]Khung_CTĐT_CNTT_K30 (2024)'!$B$10:$L$96,'Ke hoach giảng dạy CNTT'!F$6,0)</f>
        <v>3</v>
      </c>
      <c r="G34" s="149">
        <f>VLOOKUP($D34,'[2]Khung_CTĐT_CNTT_K30 (2024)'!$B$10:$L$96,'Ke hoach giảng dạy CNTT'!G$6,0)</f>
        <v>30</v>
      </c>
      <c r="H34" s="149">
        <f>VLOOKUP($D34,'[2]Khung_CTĐT_CNTT_K30 (2024)'!$B$10:$L$96,'Ke hoach giảng dạy CNTT'!H$6,0)</f>
        <v>30</v>
      </c>
      <c r="I34" s="149">
        <f>VLOOKUP($D34,'[2]Khung_CTĐT_CNTT_K30 (2024)'!$B$10:$L$96,'Ke hoach giảng dạy CNTT'!I$6,0)</f>
        <v>0</v>
      </c>
      <c r="J34" s="149">
        <f>VLOOKUP($D34,'[2]Khung_CTĐT_CNTT_K30 (2024)'!$B$10:$L$96,'Ke hoach giảng dạy CNTT'!J$6,0)</f>
        <v>0</v>
      </c>
      <c r="K34" s="149" t="str">
        <f>VLOOKUP($D34,'[2]Khung_CTĐT_CNTT_K30 (2024)'!$B$10:$L$96,'Ke hoach giảng dạy CNTT'!K$6,0)</f>
        <v>BB</v>
      </c>
      <c r="L34" s="151" t="str">
        <f>VLOOKUP($D34,'[2]Khung_CTĐT_CNTT_K30 (2024)'!$B$10:$L$96,'Ke hoach giảng dạy CNTT'!L$6,0)</f>
        <v>Không</v>
      </c>
      <c r="M34" s="152" t="str">
        <f>VLOOKUP($D34,'[2]Khung_CTĐT_CNTT_K30 (2024)'!$B$10:$L$96,'Ke hoach giảng dạy CNTT'!M$6,0)</f>
        <v>[71ITBS10203]Cơ sở lập trình</v>
      </c>
      <c r="N34" s="143"/>
      <c r="O34" s="144"/>
      <c r="Q34" s="133">
        <f t="shared" si="3"/>
        <v>4</v>
      </c>
      <c r="R34" s="10" t="str">
        <f>IFERROR(VLOOKUP(D34,$D$9:D33,1,0),"")</f>
        <v/>
      </c>
    </row>
    <row r="35" spans="1:20" x14ac:dyDescent="0.3">
      <c r="A35" s="183" t="s">
        <v>43</v>
      </c>
      <c r="B35" s="153">
        <v>2</v>
      </c>
      <c r="C35" s="153"/>
      <c r="D35" s="153" t="s">
        <v>44</v>
      </c>
      <c r="E35" s="154" t="str">
        <f>VLOOKUP($D35,'[2]Khung_CTĐT_CNTT_K30 (2024)'!$B$10:$L$96,'Ke hoach giảng dạy CNTT'!E$6,0)</f>
        <v>Chủ nghĩa xã hội khoa học</v>
      </c>
      <c r="F35" s="153">
        <f>VLOOKUP($D35,'[2]Khung_CTĐT_CNTT_K30 (2024)'!$B$10:$L$96,'Ke hoach giảng dạy CNTT'!F$6,0)</f>
        <v>2</v>
      </c>
      <c r="G35" s="153">
        <f>VLOOKUP($D35,'[2]Khung_CTĐT_CNTT_K30 (2024)'!$B$10:$L$96,'Ke hoach giảng dạy CNTT'!G$6,0)</f>
        <v>30</v>
      </c>
      <c r="H35" s="153">
        <f>VLOOKUP($D35,'[2]Khung_CTĐT_CNTT_K30 (2024)'!$B$10:$L$96,'Ke hoach giảng dạy CNTT'!H$6,0)</f>
        <v>0</v>
      </c>
      <c r="I35" s="153">
        <f>VLOOKUP($D35,'[2]Khung_CTĐT_CNTT_K30 (2024)'!$B$10:$L$96,'Ke hoach giảng dạy CNTT'!I$6,0)</f>
        <v>0</v>
      </c>
      <c r="J35" s="153">
        <f>VLOOKUP($D35,'[2]Khung_CTĐT_CNTT_K30 (2024)'!$B$10:$L$96,'Ke hoach giảng dạy CNTT'!J$6,0)</f>
        <v>0</v>
      </c>
      <c r="K35" s="153" t="str">
        <f>VLOOKUP($D35,'[2]Khung_CTĐT_CNTT_K30 (2024)'!$B$10:$L$96,'Ke hoach giảng dạy CNTT'!K$6,0)</f>
        <v>BB</v>
      </c>
      <c r="L35" s="155" t="str">
        <f>VLOOKUP($D35,'[2]Khung_CTĐT_CNTT_K30 (2024)'!$B$10:$L$96,'Ke hoach giảng dạy CNTT'!L$6,0)</f>
        <v>Không</v>
      </c>
      <c r="M35" s="156" t="str">
        <f>VLOOKUP($D35,'[2]Khung_CTĐT_CNTT_K30 (2024)'!$B$10:$L$96,'Ke hoach giảng dạy CNTT'!M$6,0)</f>
        <v>[71POLP10013]Triết học Mác-Lênin</v>
      </c>
      <c r="N35" s="143">
        <f>SUM(F35:F37)+6</f>
        <v>14</v>
      </c>
      <c r="O35" s="144"/>
      <c r="P35" s="87">
        <f>P30+N35</f>
        <v>69</v>
      </c>
      <c r="Q35" s="133">
        <v>5</v>
      </c>
      <c r="R35" s="10" t="str">
        <f>IFERROR(VLOOKUP(D35,$D$9:D34,1,0),"")</f>
        <v/>
      </c>
    </row>
    <row r="36" spans="1:20" ht="27.6" x14ac:dyDescent="0.3">
      <c r="A36" s="184"/>
      <c r="B36" s="145">
        <v>2</v>
      </c>
      <c r="C36" s="145">
        <v>2</v>
      </c>
      <c r="D36" s="145" t="s">
        <v>45</v>
      </c>
      <c r="E36" s="146" t="str">
        <f>VLOOKUP($D36,'[2]Khung_CTĐT_CNTT_K30 (2024)'!$B$10:$L$96,'Ke hoach giảng dạy CNTT'!E$6,0)</f>
        <v>Anh văn 5 (AV5)</v>
      </c>
      <c r="F36" s="145">
        <f>VLOOKUP($D36,'[2]Khung_CTĐT_CNTT_K30 (2024)'!$B$10:$L$96,'Ke hoach giảng dạy CNTT'!F$6,0)</f>
        <v>3</v>
      </c>
      <c r="G36" s="145">
        <f>VLOOKUP($D36,'[2]Khung_CTĐT_CNTT_K30 (2024)'!$B$10:$L$96,'Ke hoach giảng dạy CNTT'!G$6,0)</f>
        <v>30</v>
      </c>
      <c r="H36" s="145">
        <f>VLOOKUP($D36,'[2]Khung_CTĐT_CNTT_K30 (2024)'!$B$10:$L$96,'Ke hoach giảng dạy CNTT'!H$6,0)</f>
        <v>30</v>
      </c>
      <c r="I36" s="145">
        <f>VLOOKUP($D36,'[2]Khung_CTĐT_CNTT_K30 (2024)'!$B$10:$L$96,'Ke hoach giảng dạy CNTT'!I$6,0)</f>
        <v>0</v>
      </c>
      <c r="J36" s="145">
        <f>VLOOKUP($D36,'[2]Khung_CTĐT_CNTT_K30 (2024)'!$B$10:$L$96,'Ke hoach giảng dạy CNTT'!J$6,0)</f>
        <v>0</v>
      </c>
      <c r="K36" s="145" t="str">
        <f>VLOOKUP($D36,'[2]Khung_CTĐT_CNTT_K30 (2024)'!$B$10:$L$96,'Ke hoach giảng dạy CNTT'!K$6,0)</f>
        <v>BB</v>
      </c>
      <c r="L36" s="147" t="str">
        <f>VLOOKUP($D36,'[2]Khung_CTĐT_CNTT_K30 (2024)'!$B$10:$L$96,'Ke hoach giảng dạy CNTT'!L$6,0)</f>
        <v>[71ENG410043]Anh văn 4 (AV4)</v>
      </c>
      <c r="M36" s="148" t="str">
        <f>VLOOKUP($D36,'[2]Khung_CTĐT_CNTT_K30 (2024)'!$B$10:$L$96,'Ke hoach giảng dạy CNTT'!M$6,0)</f>
        <v xml:space="preserve">Không </v>
      </c>
      <c r="N36" s="143"/>
      <c r="O36" s="144"/>
      <c r="Q36" s="133">
        <f t="shared" ref="Q36:Q44" si="4">Q35</f>
        <v>5</v>
      </c>
      <c r="R36" s="10" t="str">
        <f>IFERROR(VLOOKUP(D36,$D$9:D35,1,0),"")</f>
        <v/>
      </c>
    </row>
    <row r="37" spans="1:20" x14ac:dyDescent="0.3">
      <c r="A37" s="184"/>
      <c r="B37" s="145">
        <v>2</v>
      </c>
      <c r="C37" s="145">
        <v>2</v>
      </c>
      <c r="D37" s="145" t="s">
        <v>46</v>
      </c>
      <c r="E37" s="146" t="str">
        <f>VLOOKUP($D37,'[2]Khung_CTĐT_CNTT_K30 (2024)'!$B$10:$L$96,'Ke hoach giảng dạy CNTT'!E$6,0)</f>
        <v>Các nền tảng phát triển phần mềm</v>
      </c>
      <c r="F37" s="145">
        <f>VLOOKUP($D37,'[2]Khung_CTĐT_CNTT_K30 (2024)'!$B$10:$L$96,'Ke hoach giảng dạy CNTT'!F$6,0)</f>
        <v>3</v>
      </c>
      <c r="G37" s="145">
        <f>VLOOKUP($D37,'[2]Khung_CTĐT_CNTT_K30 (2024)'!$B$10:$L$96,'Ke hoach giảng dạy CNTT'!G$6,0)</f>
        <v>30</v>
      </c>
      <c r="H37" s="145">
        <f>VLOOKUP($D37,'[2]Khung_CTĐT_CNTT_K30 (2024)'!$B$10:$L$96,'Ke hoach giảng dạy CNTT'!H$6,0)</f>
        <v>30</v>
      </c>
      <c r="I37" s="145">
        <f>VLOOKUP($D37,'[2]Khung_CTĐT_CNTT_K30 (2024)'!$B$10:$L$96,'Ke hoach giảng dạy CNTT'!I$6,0)</f>
        <v>0</v>
      </c>
      <c r="J37" s="145">
        <f>VLOOKUP($D37,'[2]Khung_CTĐT_CNTT_K30 (2024)'!$B$10:$L$96,'Ke hoach giảng dạy CNTT'!J$6,0)</f>
        <v>0</v>
      </c>
      <c r="K37" s="145" t="str">
        <f>VLOOKUP($D37,'[2]Khung_CTĐT_CNTT_K30 (2024)'!$B$10:$L$96,'Ke hoach giảng dạy CNTT'!K$6,0)</f>
        <v>BB</v>
      </c>
      <c r="L37" s="147" t="str">
        <f>VLOOKUP($D37,'[2]Khung_CTĐT_CNTT_K30 (2024)'!$B$10:$L$96,'Ke hoach giảng dạy CNTT'!L$6,0)</f>
        <v>Không</v>
      </c>
      <c r="M37" s="148" t="str">
        <f>VLOOKUP($D37,'[2]Khung_CTĐT_CNTT_K30 (2024)'!$B$10:$L$96,'Ke hoach giảng dạy CNTT'!M$6,0)</f>
        <v>[71ITBS10103]Nhập môn công nghệ thông tin</v>
      </c>
      <c r="N37" s="143"/>
      <c r="O37" s="144"/>
      <c r="Q37" s="133">
        <f t="shared" si="4"/>
        <v>5</v>
      </c>
      <c r="R37" s="10" t="str">
        <f>IFERROR(VLOOKUP(D37,$D$9:D36,1,0),"")</f>
        <v/>
      </c>
    </row>
    <row r="38" spans="1:20" x14ac:dyDescent="0.3">
      <c r="A38" s="184"/>
      <c r="B38" s="157"/>
      <c r="C38" s="158" t="s">
        <v>47</v>
      </c>
      <c r="D38" s="158"/>
      <c r="E38" s="159"/>
      <c r="F38" s="157"/>
      <c r="G38" s="157"/>
      <c r="H38" s="157"/>
      <c r="I38" s="157"/>
      <c r="J38" s="157"/>
      <c r="K38" s="157"/>
      <c r="L38" s="160"/>
      <c r="M38" s="161"/>
      <c r="N38" s="162"/>
      <c r="O38" s="163"/>
      <c r="Q38" s="133">
        <f t="shared" si="4"/>
        <v>5</v>
      </c>
      <c r="R38" s="10" t="str">
        <f>IFERROR(VLOOKUP(D38,$D$9:D37,1,0),"")</f>
        <v/>
      </c>
    </row>
    <row r="39" spans="1:20" x14ac:dyDescent="0.3">
      <c r="A39" s="184"/>
      <c r="B39" s="145">
        <v>2</v>
      </c>
      <c r="C39" s="145">
        <v>2</v>
      </c>
      <c r="D39" s="145" t="s">
        <v>48</v>
      </c>
      <c r="E39" s="146" t="str">
        <f>VLOOKUP($D39,'[2]Khung_CTĐT_CNTT_K30 (2024)'!$B$10:$L$96,'Ke hoach giảng dạy CNTT'!E$6,0)</f>
        <v>Nhập môn Hệ thống thông tin</v>
      </c>
      <c r="F39" s="145">
        <f>VLOOKUP($D39,'[2]Khung_CTĐT_CNTT_K30 (2024)'!$B$10:$L$96,'Ke hoach giảng dạy CNTT'!F$6,0)</f>
        <v>3</v>
      </c>
      <c r="G39" s="145">
        <f>VLOOKUP($D39,'[2]Khung_CTĐT_CNTT_K30 (2024)'!$B$10:$L$96,'Ke hoach giảng dạy CNTT'!G$6,0)</f>
        <v>30</v>
      </c>
      <c r="H39" s="145">
        <f>VLOOKUP($D39,'[2]Khung_CTĐT_CNTT_K30 (2024)'!$B$10:$L$96,'Ke hoach giảng dạy CNTT'!H$6,0)</f>
        <v>30</v>
      </c>
      <c r="I39" s="145">
        <f>VLOOKUP($D39,'[2]Khung_CTĐT_CNTT_K30 (2024)'!$B$10:$L$96,'Ke hoach giảng dạy CNTT'!I$6,0)</f>
        <v>0</v>
      </c>
      <c r="J39" s="145">
        <f>VLOOKUP($D39,'[2]Khung_CTĐT_CNTT_K30 (2024)'!$B$10:$L$96,'Ke hoach giảng dạy CNTT'!J$6,0)</f>
        <v>0</v>
      </c>
      <c r="K39" s="145" t="str">
        <f>VLOOKUP($D39,'[2]Khung_CTĐT_CNTT_K30 (2024)'!$B$10:$L$96,'Ke hoach giảng dạy CNTT'!K$6,0)</f>
        <v>TC209</v>
      </c>
      <c r="L39" s="147" t="str">
        <f>VLOOKUP($D39,'[2]Khung_CTĐT_CNTT_K30 (2024)'!$B$10:$L$96,'Ke hoach giảng dạy CNTT'!L$6,0)</f>
        <v>Không</v>
      </c>
      <c r="M39" s="148" t="str">
        <f>VLOOKUP($D39,'[2]Khung_CTĐT_CNTT_K30 (2024)'!$B$10:$L$96,'Ke hoach giảng dạy CNTT'!M$6,0)</f>
        <v>[71ITBS10103]Nhập môn công nghệ thông tin</v>
      </c>
      <c r="N39" s="143"/>
      <c r="O39" s="144"/>
      <c r="Q39" s="133">
        <f t="shared" si="4"/>
        <v>5</v>
      </c>
      <c r="R39" s="10" t="str">
        <f>IFERROR(VLOOKUP(D39,$D$9:D38,1,0),"")</f>
        <v/>
      </c>
    </row>
    <row r="40" spans="1:20" x14ac:dyDescent="0.3">
      <c r="A40" s="184"/>
      <c r="B40" s="145">
        <v>2</v>
      </c>
      <c r="C40" s="145">
        <v>2</v>
      </c>
      <c r="D40" s="145" t="s">
        <v>49</v>
      </c>
      <c r="E40" s="146" t="str">
        <f>VLOOKUP($D40,'[2]Khung_CTĐT_CNTT_K30 (2024)'!$B$10:$L$96,'Ke hoach giảng dạy CNTT'!E$6,0)</f>
        <v xml:space="preserve">An ninh Mạng máy tính </v>
      </c>
      <c r="F40" s="145">
        <f>VLOOKUP($D40,'[2]Khung_CTĐT_CNTT_K30 (2024)'!$B$10:$L$96,'Ke hoach giảng dạy CNTT'!F$6,0)</f>
        <v>3</v>
      </c>
      <c r="G40" s="145">
        <f>VLOOKUP($D40,'[2]Khung_CTĐT_CNTT_K30 (2024)'!$B$10:$L$96,'Ke hoach giảng dạy CNTT'!G$6,0)</f>
        <v>30</v>
      </c>
      <c r="H40" s="145">
        <f>VLOOKUP($D40,'[2]Khung_CTĐT_CNTT_K30 (2024)'!$B$10:$L$96,'Ke hoach giảng dạy CNTT'!H$6,0)</f>
        <v>30</v>
      </c>
      <c r="I40" s="145">
        <f>VLOOKUP($D40,'[2]Khung_CTĐT_CNTT_K30 (2024)'!$B$10:$L$96,'Ke hoach giảng dạy CNTT'!I$6,0)</f>
        <v>0</v>
      </c>
      <c r="J40" s="145">
        <f>VLOOKUP($D40,'[2]Khung_CTĐT_CNTT_K30 (2024)'!$B$10:$L$96,'Ke hoach giảng dạy CNTT'!J$6,0)</f>
        <v>0</v>
      </c>
      <c r="K40" s="145" t="str">
        <f>VLOOKUP($D40,'[2]Khung_CTĐT_CNTT_K30 (2024)'!$B$10:$L$96,'Ke hoach giảng dạy CNTT'!K$6,0)</f>
        <v>TC209</v>
      </c>
      <c r="L40" s="147" t="str">
        <f>VLOOKUP($D40,'[2]Khung_CTĐT_CNTT_K30 (2024)'!$B$10:$L$96,'Ke hoach giảng dạy CNTT'!L$6,0)</f>
        <v>Không</v>
      </c>
      <c r="M40" s="148" t="str">
        <f>VLOOKUP($D40,'[2]Khung_CTĐT_CNTT_K30 (2024)'!$B$10:$L$96,'Ke hoach giảng dạy CNTT'!M$6,0)</f>
        <v>Không</v>
      </c>
      <c r="N40" s="143"/>
      <c r="O40" s="144"/>
      <c r="Q40" s="133">
        <f t="shared" si="4"/>
        <v>5</v>
      </c>
      <c r="R40" s="10" t="str">
        <f>IFERROR(VLOOKUP(D40,$D$9:D39,1,0),"")</f>
        <v/>
      </c>
    </row>
    <row r="41" spans="1:20" x14ac:dyDescent="0.3">
      <c r="A41" s="184"/>
      <c r="B41" s="145">
        <v>2</v>
      </c>
      <c r="C41" s="145">
        <v>2</v>
      </c>
      <c r="D41" s="145" t="s">
        <v>50</v>
      </c>
      <c r="E41" s="146" t="str">
        <f>VLOOKUP($D41,'[2]Khung_CTĐT_CNTT_K30 (2024)'!$B$10:$L$96,'Ke hoach giảng dạy CNTT'!E$6,0)</f>
        <v>Xác xuất thống kê ứng dụng</v>
      </c>
      <c r="F41" s="145">
        <f>VLOOKUP($D41,'[2]Khung_CTĐT_CNTT_K30 (2024)'!$B$10:$L$96,'Ke hoach giảng dạy CNTT'!F$6,0)</f>
        <v>3</v>
      </c>
      <c r="G41" s="145">
        <f>VLOOKUP($D41,'[2]Khung_CTĐT_CNTT_K30 (2024)'!$B$10:$L$96,'Ke hoach giảng dạy CNTT'!G$6,0)</f>
        <v>30</v>
      </c>
      <c r="H41" s="145">
        <f>VLOOKUP($D41,'[2]Khung_CTĐT_CNTT_K30 (2024)'!$B$10:$L$96,'Ke hoach giảng dạy CNTT'!H$6,0)</f>
        <v>30</v>
      </c>
      <c r="I41" s="145">
        <f>VLOOKUP($D41,'[2]Khung_CTĐT_CNTT_K30 (2024)'!$B$10:$L$96,'Ke hoach giảng dạy CNTT'!I$6,0)</f>
        <v>0</v>
      </c>
      <c r="J41" s="145">
        <f>VLOOKUP($D41,'[2]Khung_CTĐT_CNTT_K30 (2024)'!$B$10:$L$96,'Ke hoach giảng dạy CNTT'!J$6,0)</f>
        <v>0</v>
      </c>
      <c r="K41" s="145" t="str">
        <f>VLOOKUP($D41,'[2]Khung_CTĐT_CNTT_K30 (2024)'!$B$10:$L$96,'Ke hoach giảng dạy CNTT'!K$6,0)</f>
        <v>TC209</v>
      </c>
      <c r="L41" s="147" t="str">
        <f>VLOOKUP($D41,'[2]Khung_CTĐT_CNTT_K30 (2024)'!$B$10:$L$96,'Ke hoach giảng dạy CNTT'!L$6,0)</f>
        <v>Không</v>
      </c>
      <c r="M41" s="148" t="str">
        <f>VLOOKUP($D41,'[2]Khung_CTĐT_CNTT_K30 (2024)'!$B$10:$L$96,'Ke hoach giảng dạy CNTT'!M$6,0)</f>
        <v>[71ITMA10403]Toán rời rạc</v>
      </c>
      <c r="N41" s="143"/>
      <c r="O41" s="144"/>
      <c r="Q41" s="133">
        <f t="shared" si="4"/>
        <v>5</v>
      </c>
      <c r="R41" s="10" t="str">
        <f>IFERROR(VLOOKUP(D41,$D$9:D40,1,0),"")</f>
        <v/>
      </c>
    </row>
    <row r="42" spans="1:20" x14ac:dyDescent="0.3">
      <c r="A42" s="184"/>
      <c r="B42" s="145">
        <v>2</v>
      </c>
      <c r="C42" s="145">
        <v>2</v>
      </c>
      <c r="D42" s="145" t="s">
        <v>51</v>
      </c>
      <c r="E42" s="146" t="str">
        <f>VLOOKUP($D42,'[2]Khung_CTĐT_CNTT_K30 (2024)'!$B$10:$L$96,'Ke hoach giảng dạy CNTT'!E$6,0)</f>
        <v>Quản lý Dự án Công nghệ Thông tin</v>
      </c>
      <c r="F42" s="145">
        <f>VLOOKUP($D42,'[2]Khung_CTĐT_CNTT_K30 (2024)'!$B$10:$L$96,'Ke hoach giảng dạy CNTT'!F$6,0)</f>
        <v>3</v>
      </c>
      <c r="G42" s="145">
        <f>VLOOKUP($D42,'[2]Khung_CTĐT_CNTT_K30 (2024)'!$B$10:$L$96,'Ke hoach giảng dạy CNTT'!G$6,0)</f>
        <v>30</v>
      </c>
      <c r="H42" s="145">
        <f>VLOOKUP($D42,'[2]Khung_CTĐT_CNTT_K30 (2024)'!$B$10:$L$96,'Ke hoach giảng dạy CNTT'!H$6,0)</f>
        <v>30</v>
      </c>
      <c r="I42" s="145">
        <f>VLOOKUP($D42,'[2]Khung_CTĐT_CNTT_K30 (2024)'!$B$10:$L$96,'Ke hoach giảng dạy CNTT'!I$6,0)</f>
        <v>0</v>
      </c>
      <c r="J42" s="145">
        <f>VLOOKUP($D42,'[2]Khung_CTĐT_CNTT_K30 (2024)'!$B$10:$L$96,'Ke hoach giảng dạy CNTT'!J$6,0)</f>
        <v>0</v>
      </c>
      <c r="K42" s="145" t="str">
        <f>VLOOKUP($D42,'[2]Khung_CTĐT_CNTT_K30 (2024)'!$B$10:$L$96,'Ke hoach giảng dạy CNTT'!K$6,0)</f>
        <v>TC209</v>
      </c>
      <c r="L42" s="147" t="str">
        <f>VLOOKUP($D42,'[2]Khung_CTĐT_CNTT_K30 (2024)'!$B$10:$L$96,'Ke hoach giảng dạy CNTT'!L$6,0)</f>
        <v>Không</v>
      </c>
      <c r="M42" s="148" t="str">
        <f>VLOOKUP($D42,'[2]Khung_CTĐT_CNTT_K30 (2024)'!$B$10:$L$96,'Ke hoach giảng dạy CNTT'!M$6,0)</f>
        <v>[71ITBS10103]Nhập môn công nghệ thông tin</v>
      </c>
      <c r="N42" s="143"/>
      <c r="O42" s="144"/>
      <c r="P42" s="137"/>
      <c r="Q42" s="136">
        <f>Q40</f>
        <v>5</v>
      </c>
      <c r="R42" s="135" t="str">
        <f>IFERROR(VLOOKUP(D42,$D$9:D40,1,0),"")</f>
        <v/>
      </c>
      <c r="S42" s="135"/>
      <c r="T42" s="135"/>
    </row>
    <row r="43" spans="1:20" x14ac:dyDescent="0.3">
      <c r="A43" s="184"/>
      <c r="B43" s="145">
        <v>2</v>
      </c>
      <c r="C43" s="145">
        <v>2</v>
      </c>
      <c r="D43" s="145" t="s">
        <v>52</v>
      </c>
      <c r="E43" s="146" t="str">
        <f>VLOOKUP($D43,'[2]Khung_CTĐT_CNTT_K30 (2024)'!$B$10:$L$96,'Ke hoach giảng dạy CNTT'!E$6,0)</f>
        <v xml:space="preserve">Hệ Quản trị Cơ sở dữ liệu </v>
      </c>
      <c r="F43" s="145">
        <f>VLOOKUP($D43,'[2]Khung_CTĐT_CNTT_K30 (2024)'!$B$10:$L$96,'Ke hoach giảng dạy CNTT'!F$6,0)</f>
        <v>3</v>
      </c>
      <c r="G43" s="145">
        <f>VLOOKUP($D43,'[2]Khung_CTĐT_CNTT_K30 (2024)'!$B$10:$L$96,'Ke hoach giảng dạy CNTT'!G$6,0)</f>
        <v>30</v>
      </c>
      <c r="H43" s="145">
        <f>VLOOKUP($D43,'[2]Khung_CTĐT_CNTT_K30 (2024)'!$B$10:$L$96,'Ke hoach giảng dạy CNTT'!H$6,0)</f>
        <v>30</v>
      </c>
      <c r="I43" s="145">
        <f>VLOOKUP($D43,'[2]Khung_CTĐT_CNTT_K30 (2024)'!$B$10:$L$96,'Ke hoach giảng dạy CNTT'!I$6,0)</f>
        <v>0</v>
      </c>
      <c r="J43" s="145">
        <f>VLOOKUP($D43,'[2]Khung_CTĐT_CNTT_K30 (2024)'!$B$10:$L$96,'Ke hoach giảng dạy CNTT'!J$6,0)</f>
        <v>0</v>
      </c>
      <c r="K43" s="145" t="str">
        <f>VLOOKUP($D43,'[2]Khung_CTĐT_CNTT_K30 (2024)'!$B$10:$L$96,'Ke hoach giảng dạy CNTT'!K$6,0)</f>
        <v>TC309</v>
      </c>
      <c r="L43" s="147" t="str">
        <f>VLOOKUP($D43,'[2]Khung_CTĐT_CNTT_K30 (2024)'!$B$10:$L$96,'Ke hoach giảng dạy CNTT'!L$6,0)</f>
        <v>Không</v>
      </c>
      <c r="M43" s="148" t="str">
        <f>VLOOKUP($D43,'[2]Khung_CTĐT_CNTT_K30 (2024)'!$B$10:$L$96,'Ke hoach giảng dạy CNTT'!M$6,0)</f>
        <v>[71ITIS30103]Cơ sở dữ liệu</v>
      </c>
      <c r="N43" s="143"/>
      <c r="O43" s="144"/>
      <c r="Q43" s="133">
        <f>Q41</f>
        <v>5</v>
      </c>
      <c r="R43" s="10" t="str">
        <f>IFERROR(VLOOKUP(D43,$D$9:D41,1,0),"")</f>
        <v/>
      </c>
    </row>
    <row r="44" spans="1:20" ht="17.399999999999999" thickBot="1" x14ac:dyDescent="0.35">
      <c r="A44" s="184"/>
      <c r="B44" s="149">
        <v>2</v>
      </c>
      <c r="C44" s="149">
        <v>2</v>
      </c>
      <c r="D44" s="149" t="s">
        <v>53</v>
      </c>
      <c r="E44" s="150" t="str">
        <f>VLOOKUP($D44,'[2]Khung_CTĐT_CNTT_K30 (2024)'!$B$10:$L$96,'Ke hoach giảng dạy CNTT'!E$6,0)</f>
        <v>Lập trình ứng dụng Java</v>
      </c>
      <c r="F44" s="149">
        <f>VLOOKUP($D44,'[2]Khung_CTĐT_CNTT_K30 (2024)'!$B$10:$L$96,'Ke hoach giảng dạy CNTT'!F$6,0)</f>
        <v>3</v>
      </c>
      <c r="G44" s="149">
        <f>VLOOKUP($D44,'[2]Khung_CTĐT_CNTT_K30 (2024)'!$B$10:$L$96,'Ke hoach giảng dạy CNTT'!G$6,0)</f>
        <v>30</v>
      </c>
      <c r="H44" s="149">
        <f>VLOOKUP($D44,'[2]Khung_CTĐT_CNTT_K30 (2024)'!$B$10:$L$96,'Ke hoach giảng dạy CNTT'!H$6,0)</f>
        <v>30</v>
      </c>
      <c r="I44" s="149">
        <f>VLOOKUP($D44,'[2]Khung_CTĐT_CNTT_K30 (2024)'!$B$10:$L$96,'Ke hoach giảng dạy CNTT'!I$6,0)</f>
        <v>0</v>
      </c>
      <c r="J44" s="149">
        <f>VLOOKUP($D44,'[2]Khung_CTĐT_CNTT_K30 (2024)'!$B$10:$L$96,'Ke hoach giảng dạy CNTT'!J$6,0)</f>
        <v>0</v>
      </c>
      <c r="K44" s="149" t="str">
        <f>VLOOKUP($D44,'[2]Khung_CTĐT_CNTT_K30 (2024)'!$B$10:$L$96,'Ke hoach giảng dạy CNTT'!K$6,0)</f>
        <v>TC209</v>
      </c>
      <c r="L44" s="151" t="str">
        <f>VLOOKUP($D44,'[2]Khung_CTĐT_CNTT_K30 (2024)'!$B$10:$L$96,'Ke hoach giảng dạy CNTT'!L$6,0)</f>
        <v>Không</v>
      </c>
      <c r="M44" s="152" t="str">
        <f>VLOOKUP($D44,'[2]Khung_CTĐT_CNTT_K30 (2024)'!$B$10:$L$96,'Ke hoach giảng dạy CNTT'!M$6,0)</f>
        <v>Không</v>
      </c>
      <c r="N44" s="164"/>
      <c r="O44" s="165"/>
      <c r="Q44" s="133">
        <f t="shared" si="4"/>
        <v>5</v>
      </c>
      <c r="R44" s="10" t="str">
        <f>IFERROR(VLOOKUP(D44,$D$9:D43,1,0),"")</f>
        <v/>
      </c>
    </row>
    <row r="45" spans="1:20" x14ac:dyDescent="0.3">
      <c r="A45" s="179" t="s">
        <v>54</v>
      </c>
      <c r="B45" s="45">
        <v>3</v>
      </c>
      <c r="C45" s="45"/>
      <c r="D45" s="46"/>
      <c r="E45" s="56"/>
      <c r="F45" s="45"/>
      <c r="G45" s="45"/>
      <c r="H45" s="45"/>
      <c r="I45" s="45"/>
      <c r="J45" s="45"/>
      <c r="K45" s="45"/>
      <c r="L45" s="57"/>
      <c r="M45" s="58"/>
      <c r="N45" s="91">
        <f>SUM(F45:F47)+3+3</f>
        <v>12</v>
      </c>
      <c r="O45" s="80"/>
      <c r="P45" s="87">
        <f>P35+N45</f>
        <v>81</v>
      </c>
      <c r="Q45" s="133">
        <v>6</v>
      </c>
      <c r="R45" s="10" t="str">
        <f>IFERROR(VLOOKUP(D45,$D$9:D44,1,0),"")</f>
        <v/>
      </c>
    </row>
    <row r="46" spans="1:20" ht="27.6" x14ac:dyDescent="0.3">
      <c r="A46" s="182"/>
      <c r="B46" s="18">
        <v>3</v>
      </c>
      <c r="C46" s="18">
        <v>2</v>
      </c>
      <c r="D46" s="19" t="s">
        <v>55</v>
      </c>
      <c r="E46" s="23" t="str">
        <f>VLOOKUP($D46,'[2]Khung_CTĐT_CNTT_K30 (2024)'!$B$10:$L$96,'Ke hoach giảng dạy CNTT'!E$6,0)</f>
        <v>Anh văn 6 (AV6)</v>
      </c>
      <c r="F46" s="24">
        <f>VLOOKUP($D46,'[2]Khung_CTĐT_CNTT_K30 (2024)'!$B$10:$L$96,'Ke hoach giảng dạy CNTT'!F$6,0)</f>
        <v>3</v>
      </c>
      <c r="G46" s="24">
        <f>VLOOKUP($D46,'[2]Khung_CTĐT_CNTT_K30 (2024)'!$B$10:$L$96,'Ke hoach giảng dạy CNTT'!G$6,0)</f>
        <v>45</v>
      </c>
      <c r="H46" s="24">
        <f>VLOOKUP($D46,'[2]Khung_CTĐT_CNTT_K30 (2024)'!$B$10:$L$96,'Ke hoach giảng dạy CNTT'!H$6,0)</f>
        <v>0</v>
      </c>
      <c r="I46" s="24">
        <f>VLOOKUP($D46,'[2]Khung_CTĐT_CNTT_K30 (2024)'!$B$10:$L$96,'Ke hoach giảng dạy CNTT'!I$6,0)</f>
        <v>0</v>
      </c>
      <c r="J46" s="24">
        <f>VLOOKUP($D46,'[2]Khung_CTĐT_CNTT_K30 (2024)'!$B$10:$L$96,'Ke hoach giảng dạy CNTT'!J$6,0)</f>
        <v>0</v>
      </c>
      <c r="K46" s="24" t="str">
        <f>VLOOKUP($D46,'[2]Khung_CTĐT_CNTT_K30 (2024)'!$B$10:$L$96,'Ke hoach giảng dạy CNTT'!K$6,0)</f>
        <v>BB</v>
      </c>
      <c r="L46" s="25" t="str">
        <f>VLOOKUP($D46,'[2]Khung_CTĐT_CNTT_K30 (2024)'!$B$10:$L$96,'Ke hoach giảng dạy CNTT'!L$6,0)</f>
        <v>[71ENG510053]Anh văn 5 (AV5)</v>
      </c>
      <c r="M46" s="26" t="str">
        <f>VLOOKUP($D46,'[2]Khung_CTĐT_CNTT_K30 (2024)'!$B$10:$L$96,'Ke hoach giảng dạy CNTT'!M$6,0)</f>
        <v xml:space="preserve">Không </v>
      </c>
      <c r="N46" s="89"/>
      <c r="O46" s="81"/>
      <c r="Q46" s="133">
        <f t="shared" ref="Q46:Q58" si="5">Q45</f>
        <v>6</v>
      </c>
      <c r="R46" s="10" t="str">
        <f>IFERROR(VLOOKUP(D46,$D$9:D45,1,0),"")</f>
        <v/>
      </c>
    </row>
    <row r="47" spans="1:20" x14ac:dyDescent="0.3">
      <c r="A47" s="180"/>
      <c r="B47" s="18">
        <v>3</v>
      </c>
      <c r="C47" s="18">
        <v>2</v>
      </c>
      <c r="D47" s="19" t="s">
        <v>56</v>
      </c>
      <c r="E47" s="23" t="str">
        <f>VLOOKUP($D47,'[2]Khung_CTĐT_CNTT_K30 (2024)'!$B$10:$L$96,'Ke hoach giảng dạy CNTT'!E$6,0)</f>
        <v xml:space="preserve">Nhập môn Trí tuệ nhân tạo </v>
      </c>
      <c r="F47" s="24">
        <f>VLOOKUP($D47,'[2]Khung_CTĐT_CNTT_K30 (2024)'!$B$10:$L$96,'Ke hoach giảng dạy CNTT'!F$6,0)</f>
        <v>3</v>
      </c>
      <c r="G47" s="24">
        <f>VLOOKUP($D47,'[2]Khung_CTĐT_CNTT_K30 (2024)'!$B$10:$L$96,'Ke hoach giảng dạy CNTT'!G$6,0)</f>
        <v>30</v>
      </c>
      <c r="H47" s="24">
        <f>VLOOKUP($D47,'[2]Khung_CTĐT_CNTT_K30 (2024)'!$B$10:$L$96,'Ke hoach giảng dạy CNTT'!H$6,0)</f>
        <v>30</v>
      </c>
      <c r="I47" s="24">
        <f>VLOOKUP($D47,'[2]Khung_CTĐT_CNTT_K30 (2024)'!$B$10:$L$96,'Ke hoach giảng dạy CNTT'!I$6,0)</f>
        <v>0</v>
      </c>
      <c r="J47" s="24">
        <f>VLOOKUP($D47,'[2]Khung_CTĐT_CNTT_K30 (2024)'!$B$10:$L$96,'Ke hoach giảng dạy CNTT'!J$6,0)</f>
        <v>0</v>
      </c>
      <c r="K47" s="24" t="str">
        <f>VLOOKUP($D47,'[2]Khung_CTĐT_CNTT_K30 (2024)'!$B$10:$L$96,'Ke hoach giảng dạy CNTT'!K$6,0)</f>
        <v>BB</v>
      </c>
      <c r="L47" s="25" t="str">
        <f>VLOOKUP($D47,'[2]Khung_CTĐT_CNTT_K30 (2024)'!$B$10:$L$96,'Ke hoach giảng dạy CNTT'!L$6,0)</f>
        <v>Không</v>
      </c>
      <c r="M47" s="26" t="str">
        <f>VLOOKUP($D47,'[2]Khung_CTĐT_CNTT_K30 (2024)'!$B$10:$L$96,'Ke hoach giảng dạy CNTT'!M$6,0)</f>
        <v>[71ITBS10203]Cơ sở lập trình</v>
      </c>
      <c r="N47" s="89"/>
      <c r="O47" s="81"/>
      <c r="Q47" s="133">
        <f>Q46</f>
        <v>6</v>
      </c>
      <c r="R47" s="10" t="str">
        <f>IFERROR(VLOOKUP(D47,$D$9:D46,1,0),"")</f>
        <v/>
      </c>
    </row>
    <row r="48" spans="1:20" x14ac:dyDescent="0.3">
      <c r="A48" s="180"/>
      <c r="B48" s="38"/>
      <c r="C48" s="42" t="s">
        <v>57</v>
      </c>
      <c r="D48" s="42"/>
      <c r="E48" s="39"/>
      <c r="F48" s="38"/>
      <c r="G48" s="38"/>
      <c r="H48" s="38"/>
      <c r="I48" s="38"/>
      <c r="J48" s="38"/>
      <c r="K48" s="38"/>
      <c r="L48" s="40"/>
      <c r="M48" s="41"/>
      <c r="N48" s="125"/>
      <c r="O48" s="126"/>
      <c r="Q48" s="133">
        <f t="shared" si="5"/>
        <v>6</v>
      </c>
      <c r="R48" s="10" t="str">
        <f>IFERROR(VLOOKUP(D48,$D$9:D47,1,0),"")</f>
        <v/>
      </c>
    </row>
    <row r="49" spans="1:18" x14ac:dyDescent="0.3">
      <c r="A49" s="180"/>
      <c r="B49" s="18">
        <v>3</v>
      </c>
      <c r="C49" s="18">
        <v>2</v>
      </c>
      <c r="D49" s="19" t="s">
        <v>58</v>
      </c>
      <c r="E49" s="20" t="str">
        <f>VLOOKUP($D49,'[2]Khung_CTĐT_CNTT_K30 (2024)'!$B$10:$L$96,'Ke hoach giảng dạy CNTT'!E$6,0)</f>
        <v xml:space="preserve">Nhập môn Công nghệ phần mềm </v>
      </c>
      <c r="F49" s="18">
        <f>VLOOKUP($D49,'[2]Khung_CTĐT_CNTT_K30 (2024)'!$B$10:$L$96,'Ke hoach giảng dạy CNTT'!F$6,0)</f>
        <v>3</v>
      </c>
      <c r="G49" s="18">
        <f>VLOOKUP($D49,'[2]Khung_CTĐT_CNTT_K30 (2024)'!$B$10:$L$96,'Ke hoach giảng dạy CNTT'!G$6,0)</f>
        <v>30</v>
      </c>
      <c r="H49" s="18">
        <f>VLOOKUP($D49,'[2]Khung_CTĐT_CNTT_K30 (2024)'!$B$10:$L$96,'Ke hoach giảng dạy CNTT'!H$6,0)</f>
        <v>30</v>
      </c>
      <c r="I49" s="18">
        <f>VLOOKUP($D49,'[2]Khung_CTĐT_CNTT_K30 (2024)'!$B$10:$L$96,'Ke hoach giảng dạy CNTT'!I$6,0)</f>
        <v>0</v>
      </c>
      <c r="J49" s="18">
        <f>VLOOKUP($D49,'[2]Khung_CTĐT_CNTT_K30 (2024)'!$B$10:$L$96,'Ke hoach giảng dạy CNTT'!J$6,0)</f>
        <v>0</v>
      </c>
      <c r="K49" s="18" t="str">
        <f>VLOOKUP($D49,'[2]Khung_CTĐT_CNTT_K30 (2024)'!$B$10:$L$96,'Ke hoach giảng dạy CNTT'!K$6,0)</f>
        <v>BB</v>
      </c>
      <c r="L49" s="21" t="str">
        <f>VLOOKUP($D49,'[2]Khung_CTĐT_CNTT_K30 (2024)'!$B$10:$L$96,'Ke hoach giảng dạy CNTT'!L$6,0)</f>
        <v>Không</v>
      </c>
      <c r="M49" s="22" t="str">
        <f>VLOOKUP($D49,'[2]Khung_CTĐT_CNTT_K30 (2024)'!$B$10:$L$96,'Ke hoach giảng dạy CNTT'!M$6,0)</f>
        <v>[71ITBS10103]Nhập môn công nghệ thông tin</v>
      </c>
      <c r="N49" s="89"/>
      <c r="O49" s="81"/>
      <c r="Q49" s="133">
        <f t="shared" si="5"/>
        <v>6</v>
      </c>
      <c r="R49" s="10" t="str">
        <f>IFERROR(VLOOKUP(D49,$D$9:D48,1,0),"")</f>
        <v/>
      </c>
    </row>
    <row r="50" spans="1:18" x14ac:dyDescent="0.3">
      <c r="A50" s="180"/>
      <c r="B50" s="38"/>
      <c r="C50" s="42" t="s">
        <v>59</v>
      </c>
      <c r="D50" s="42"/>
      <c r="E50" s="39"/>
      <c r="F50" s="43"/>
      <c r="G50" s="38"/>
      <c r="H50" s="38"/>
      <c r="I50" s="38"/>
      <c r="J50" s="38"/>
      <c r="K50" s="38"/>
      <c r="L50" s="40"/>
      <c r="M50" s="41"/>
      <c r="N50" s="125"/>
      <c r="O50" s="126"/>
      <c r="Q50" s="133">
        <f t="shared" si="5"/>
        <v>6</v>
      </c>
      <c r="R50" s="10" t="str">
        <f>IFERROR(VLOOKUP(D50,$D$9:D49,1,0),"")</f>
        <v/>
      </c>
    </row>
    <row r="51" spans="1:18" x14ac:dyDescent="0.3">
      <c r="A51" s="180"/>
      <c r="B51" s="18">
        <v>3</v>
      </c>
      <c r="C51" s="18">
        <v>2</v>
      </c>
      <c r="D51" s="19" t="s">
        <v>60</v>
      </c>
      <c r="E51" s="23" t="str">
        <f>VLOOKUP($D51,'[2]Khung_CTĐT_CNTT_K30 (2024)'!$B$10:$L$96,'Ke hoach giảng dạy CNTT'!E$6,0)</f>
        <v>Nhập môn Phân tích Dữ liệu lớn</v>
      </c>
      <c r="F51" s="18">
        <f>VLOOKUP($D51,'[2]Khung_CTĐT_CNTT_K30 (2024)'!$B$10:$L$96,'Ke hoach giảng dạy CNTT'!F$6,0)</f>
        <v>3</v>
      </c>
      <c r="G51" s="18">
        <f>VLOOKUP($D51,'[2]Khung_CTĐT_CNTT_K30 (2024)'!$B$10:$L$96,'Ke hoach giảng dạy CNTT'!G$6,0)</f>
        <v>30</v>
      </c>
      <c r="H51" s="18">
        <f>VLOOKUP($D51,'[2]Khung_CTĐT_CNTT_K30 (2024)'!$B$10:$L$96,'Ke hoach giảng dạy CNTT'!H$6,0)</f>
        <v>30</v>
      </c>
      <c r="I51" s="18">
        <f>VLOOKUP($D51,'[2]Khung_CTĐT_CNTT_K30 (2024)'!$B$10:$L$96,'Ke hoach giảng dạy CNTT'!I$6,0)</f>
        <v>0</v>
      </c>
      <c r="J51" s="18">
        <f>VLOOKUP($D51,'[2]Khung_CTĐT_CNTT_K30 (2024)'!$B$10:$L$96,'Ke hoach giảng dạy CNTT'!J$6,0)</f>
        <v>0</v>
      </c>
      <c r="K51" s="18" t="str">
        <f>VLOOKUP($D51,'[2]Khung_CTĐT_CNTT_K30 (2024)'!$B$10:$L$96,'Ke hoach giảng dạy CNTT'!K$6,0)</f>
        <v>BB</v>
      </c>
      <c r="L51" s="21" t="str">
        <f>VLOOKUP($D51,'[2]Khung_CTĐT_CNTT_K30 (2024)'!$B$10:$L$96,'Ke hoach giảng dạy CNTT'!L$6,0)</f>
        <v>Không</v>
      </c>
      <c r="M51" s="22" t="str">
        <f>VLOOKUP($D51,'[2]Khung_CTĐT_CNTT_K30 (2024)'!$B$10:$L$96,'Ke hoach giảng dạy CNTT'!M$6,0)</f>
        <v>Không</v>
      </c>
      <c r="N51" s="89"/>
      <c r="O51" s="81"/>
      <c r="Q51" s="133">
        <f t="shared" si="5"/>
        <v>6</v>
      </c>
      <c r="R51" s="10" t="str">
        <f>IFERROR(VLOOKUP(D51,$D$9:D50,1,0),"")</f>
        <v/>
      </c>
    </row>
    <row r="52" spans="1:18" x14ac:dyDescent="0.3">
      <c r="A52" s="180"/>
      <c r="B52" s="38"/>
      <c r="C52" s="42" t="s">
        <v>61</v>
      </c>
      <c r="D52" s="42"/>
      <c r="E52" s="39"/>
      <c r="F52" s="43"/>
      <c r="G52" s="38"/>
      <c r="H52" s="38"/>
      <c r="I52" s="38"/>
      <c r="J52" s="38"/>
      <c r="K52" s="38"/>
      <c r="L52" s="40"/>
      <c r="M52" s="41"/>
      <c r="N52" s="125"/>
      <c r="O52" s="126"/>
      <c r="Q52" s="133">
        <f t="shared" si="5"/>
        <v>6</v>
      </c>
      <c r="R52" s="10" t="str">
        <f>IFERROR(VLOOKUP(D52,$D$9:D51,1,0),"")</f>
        <v/>
      </c>
    </row>
    <row r="53" spans="1:18" ht="23.1" customHeight="1" x14ac:dyDescent="0.3">
      <c r="A53" s="180"/>
      <c r="B53" s="18">
        <v>3</v>
      </c>
      <c r="C53" s="18">
        <v>2</v>
      </c>
      <c r="D53" s="25" t="s">
        <v>62</v>
      </c>
      <c r="E53" s="23" t="str">
        <f>VLOOKUP($D53,'[2]Khung_CTĐT_CNTT_K30 (2024)'!$B$10:$L$96,'Ke hoach giảng dạy CNTT'!E$6,0)</f>
        <v xml:space="preserve">Nhập môn xử lý ảnh số </v>
      </c>
      <c r="F53" s="24">
        <f>VLOOKUP($D53,'[2]Khung_CTĐT_CNTT_K30 (2024)'!$B$10:$L$96,'Ke hoach giảng dạy CNTT'!F$6,0)</f>
        <v>3</v>
      </c>
      <c r="G53" s="24">
        <f>VLOOKUP($D53,'[2]Khung_CTĐT_CNTT_K30 (2024)'!$B$10:$L$96,'Ke hoach giảng dạy CNTT'!G$6,0)</f>
        <v>30</v>
      </c>
      <c r="H53" s="18">
        <f>VLOOKUP($D53,'[2]Khung_CTĐT_CNTT_K30 (2024)'!$B$10:$L$96,'Ke hoach giảng dạy CNTT'!H$6,0)</f>
        <v>30</v>
      </c>
      <c r="I53" s="18">
        <f>VLOOKUP($D53,'[2]Khung_CTĐT_CNTT_K30 (2024)'!$B$10:$L$96,'Ke hoach giảng dạy CNTT'!I$6,0)</f>
        <v>0</v>
      </c>
      <c r="J53" s="18">
        <f>VLOOKUP($D53,'[2]Khung_CTĐT_CNTT_K30 (2024)'!$B$10:$L$96,'Ke hoach giảng dạy CNTT'!J$6,0)</f>
        <v>0</v>
      </c>
      <c r="K53" s="18" t="str">
        <f>VLOOKUP($D53,'[2]Khung_CTĐT_CNTT_K30 (2024)'!$B$10:$L$96,'Ke hoach giảng dạy CNTT'!K$6,0)</f>
        <v>BB</v>
      </c>
      <c r="L53" s="21" t="str">
        <f>VLOOKUP($D53,'[2]Khung_CTĐT_CNTT_K30 (2024)'!$B$10:$L$96,'Ke hoach giảng dạy CNTT'!L$6,0)</f>
        <v>Không</v>
      </c>
      <c r="M53" s="22" t="str">
        <f>VLOOKUP($D53,'[2]Khung_CTĐT_CNTT_K30 (2024)'!$B$10:$L$96,'Ke hoach giảng dạy CNTT'!M$6,0)</f>
        <v xml:space="preserve">Không </v>
      </c>
      <c r="N53" s="89"/>
      <c r="O53" s="81"/>
      <c r="Q53" s="133">
        <f t="shared" si="5"/>
        <v>6</v>
      </c>
      <c r="R53" s="10" t="str">
        <f>IFERROR(VLOOKUP(D53,$D$9:D52,1,0),"")</f>
        <v/>
      </c>
    </row>
    <row r="54" spans="1:18" x14ac:dyDescent="0.3">
      <c r="A54" s="180"/>
      <c r="B54" s="38"/>
      <c r="C54" s="42" t="s">
        <v>63</v>
      </c>
      <c r="D54" s="42"/>
      <c r="E54" s="39"/>
      <c r="F54" s="43"/>
      <c r="G54" s="38"/>
      <c r="H54" s="38"/>
      <c r="I54" s="38"/>
      <c r="J54" s="38"/>
      <c r="K54" s="38"/>
      <c r="L54" s="40"/>
      <c r="M54" s="41"/>
      <c r="N54" s="125"/>
      <c r="O54" s="126"/>
      <c r="Q54" s="133">
        <f t="shared" si="5"/>
        <v>6</v>
      </c>
      <c r="R54" s="10" t="str">
        <f>IFERROR(VLOOKUP(D54,$D$9:D53,1,0),"")</f>
        <v/>
      </c>
    </row>
    <row r="55" spans="1:18" x14ac:dyDescent="0.3">
      <c r="A55" s="180"/>
      <c r="B55" s="18">
        <v>3</v>
      </c>
      <c r="C55" s="18">
        <v>2</v>
      </c>
      <c r="D55" s="24" t="s">
        <v>64</v>
      </c>
      <c r="E55" s="23" t="str">
        <f>VLOOKUP($D55,'[2]Khung_CTĐT_CNTT_K30 (2024)'!$B$10:$L$96,'Ke hoach giảng dạy CNTT'!E$6,0)</f>
        <v>Nhập môn hệ thống nhúng</v>
      </c>
      <c r="F55" s="24">
        <f>VLOOKUP($D55,'[2]Khung_CTĐT_CNTT_K30 (2024)'!$B$10:$L$96,'Ke hoach giảng dạy CNTT'!F$6,0)</f>
        <v>3</v>
      </c>
      <c r="G55" s="24">
        <f>VLOOKUP($D55,'[2]Khung_CTĐT_CNTT_K30 (2024)'!$B$10:$L$96,'Ke hoach giảng dạy CNTT'!G$6,0)</f>
        <v>30</v>
      </c>
      <c r="H55" s="24">
        <f>VLOOKUP($D55,'[2]Khung_CTĐT_CNTT_K30 (2024)'!$B$10:$L$96,'Ke hoach giảng dạy CNTT'!H$6,0)</f>
        <v>30</v>
      </c>
      <c r="I55" s="24">
        <f>VLOOKUP($D55,'[2]Khung_CTĐT_CNTT_K30 (2024)'!$B$10:$L$96,'Ke hoach giảng dạy CNTT'!I$6,0)</f>
        <v>0</v>
      </c>
      <c r="J55" s="24">
        <f>VLOOKUP($D55,'[2]Khung_CTĐT_CNTT_K30 (2024)'!$B$10:$L$96,'Ke hoach giảng dạy CNTT'!J$6,0)</f>
        <v>0</v>
      </c>
      <c r="K55" s="24" t="str">
        <f>VLOOKUP($D55,'[2]Khung_CTĐT_CNTT_K30 (2024)'!$B$10:$L$96,'Ke hoach giảng dạy CNTT'!K$6,0)</f>
        <v>TC209</v>
      </c>
      <c r="L55" s="25" t="str">
        <f>VLOOKUP($D55,'[2]Khung_CTĐT_CNTT_K30 (2024)'!$B$10:$L$96,'Ke hoach giảng dạy CNTT'!L$6,0)</f>
        <v>Không</v>
      </c>
      <c r="M55" s="26" t="str">
        <f>VLOOKUP($D55,'[2]Khung_CTĐT_CNTT_K30 (2024)'!$B$10:$L$96,'Ke hoach giảng dạy CNTT'!M$6,0)</f>
        <v>Không</v>
      </c>
      <c r="N55" s="89"/>
      <c r="O55" s="81"/>
      <c r="Q55" s="133">
        <f t="shared" si="5"/>
        <v>6</v>
      </c>
      <c r="R55" s="10" t="str">
        <f>IFERROR(VLOOKUP(D55,$D$9:D54,1,0),"")</f>
        <v/>
      </c>
    </row>
    <row r="56" spans="1:18" x14ac:dyDescent="0.3">
      <c r="A56" s="180"/>
      <c r="B56" s="18">
        <v>3</v>
      </c>
      <c r="C56" s="18">
        <v>2</v>
      </c>
      <c r="D56" s="24" t="s">
        <v>65</v>
      </c>
      <c r="E56" s="23" t="str">
        <f>VLOOKUP($D56,'[2]Khung_CTĐT_CNTT_K30 (2024)'!$B$10:$L$96,'Ke hoach giảng dạy CNTT'!E$6,0)</f>
        <v>Thiết kế giao diện người dùng</v>
      </c>
      <c r="F56" s="24">
        <f>VLOOKUP($D56,'[2]Khung_CTĐT_CNTT_K30 (2024)'!$B$10:$L$96,'Ke hoach giảng dạy CNTT'!F$6,0)</f>
        <v>3</v>
      </c>
      <c r="G56" s="24">
        <f>VLOOKUP($D56,'[2]Khung_CTĐT_CNTT_K30 (2024)'!$B$10:$L$96,'Ke hoach giảng dạy CNTT'!G$6,0)</f>
        <v>30</v>
      </c>
      <c r="H56" s="24">
        <f>VLOOKUP($D56,'[2]Khung_CTĐT_CNTT_K30 (2024)'!$B$10:$L$96,'Ke hoach giảng dạy CNTT'!H$6,0)</f>
        <v>30</v>
      </c>
      <c r="I56" s="24">
        <f>VLOOKUP($D56,'[2]Khung_CTĐT_CNTT_K30 (2024)'!$B$10:$L$96,'Ke hoach giảng dạy CNTT'!I$6,0)</f>
        <v>0</v>
      </c>
      <c r="J56" s="24">
        <f>VLOOKUP($D56,'[2]Khung_CTĐT_CNTT_K30 (2024)'!$B$10:$L$96,'Ke hoach giảng dạy CNTT'!J$6,0)</f>
        <v>0</v>
      </c>
      <c r="K56" s="24" t="str">
        <f>VLOOKUP($D56,'[2]Khung_CTĐT_CNTT_K30 (2024)'!$B$10:$L$96,'Ke hoach giảng dạy CNTT'!K$6,0)</f>
        <v>TC209</v>
      </c>
      <c r="L56" s="25" t="str">
        <f>VLOOKUP($D56,'[2]Khung_CTĐT_CNTT_K30 (2024)'!$B$10:$L$96,'Ke hoach giảng dạy CNTT'!L$6,0)</f>
        <v>Không</v>
      </c>
      <c r="M56" s="26" t="str">
        <f>VLOOKUP($D56,'[2]Khung_CTĐT_CNTT_K30 (2024)'!$B$10:$L$96,'Ke hoach giảng dạy CNTT'!M$6,0)</f>
        <v>Không</v>
      </c>
      <c r="N56" s="89"/>
      <c r="O56" s="81"/>
      <c r="Q56" s="133">
        <f t="shared" si="5"/>
        <v>6</v>
      </c>
      <c r="R56" s="10" t="str">
        <f>IFERROR(VLOOKUP(D56,$D$9:D55,1,0),"")</f>
        <v/>
      </c>
    </row>
    <row r="57" spans="1:18" x14ac:dyDescent="0.3">
      <c r="A57" s="180"/>
      <c r="B57" s="18">
        <v>3</v>
      </c>
      <c r="C57" s="18">
        <v>2</v>
      </c>
      <c r="D57" s="24" t="s">
        <v>66</v>
      </c>
      <c r="E57" s="23" t="str">
        <f>VLOOKUP($D57,'[2]Khung_CTĐT_CNTT_K30 (2024)'!$B$10:$L$96,'Ke hoach giảng dạy CNTT'!E$6,0)</f>
        <v>Nhập môn Phân tích Dữ liệu và Học sâu</v>
      </c>
      <c r="F57" s="24">
        <f>VLOOKUP($D57,'[2]Khung_CTĐT_CNTT_K30 (2024)'!$B$10:$L$96,'Ke hoach giảng dạy CNTT'!F$6,0)</f>
        <v>3</v>
      </c>
      <c r="G57" s="24">
        <f>VLOOKUP($D57,'[2]Khung_CTĐT_CNTT_K30 (2024)'!$B$10:$L$96,'Ke hoach giảng dạy CNTT'!G$6,0)</f>
        <v>30</v>
      </c>
      <c r="H57" s="24">
        <f>VLOOKUP($D57,'[2]Khung_CTĐT_CNTT_K30 (2024)'!$B$10:$L$96,'Ke hoach giảng dạy CNTT'!H$6,0)</f>
        <v>30</v>
      </c>
      <c r="I57" s="24">
        <f>VLOOKUP($D57,'[2]Khung_CTĐT_CNTT_K30 (2024)'!$B$10:$L$96,'Ke hoach giảng dạy CNTT'!I$6,0)</f>
        <v>0</v>
      </c>
      <c r="J57" s="24">
        <f>VLOOKUP($D57,'[2]Khung_CTĐT_CNTT_K30 (2024)'!$B$10:$L$96,'Ke hoach giảng dạy CNTT'!J$6,0)</f>
        <v>0</v>
      </c>
      <c r="K57" s="24" t="str">
        <f>VLOOKUP($D57,'[2]Khung_CTĐT_CNTT_K30 (2024)'!$B$10:$L$96,'Ke hoach giảng dạy CNTT'!K$6,0)</f>
        <v>TC209</v>
      </c>
      <c r="L57" s="25" t="str">
        <f>VLOOKUP($D57,'[2]Khung_CTĐT_CNTT_K30 (2024)'!$B$10:$L$96,'Ke hoach giảng dạy CNTT'!L$6,0)</f>
        <v>Không</v>
      </c>
      <c r="M57" s="26" t="str">
        <f>VLOOKUP($D57,'[2]Khung_CTĐT_CNTT_K30 (2024)'!$B$10:$L$96,'Ke hoach giảng dạy CNTT'!M$6,0)</f>
        <v>Không</v>
      </c>
      <c r="N57" s="89"/>
      <c r="O57" s="81"/>
      <c r="Q57" s="133">
        <f t="shared" si="5"/>
        <v>6</v>
      </c>
      <c r="R57" s="10" t="str">
        <f>IFERROR(VLOOKUP(D57,$D$9:D56,1,0),"")</f>
        <v/>
      </c>
    </row>
    <row r="58" spans="1:18" ht="17.399999999999999" thickBot="1" x14ac:dyDescent="0.35">
      <c r="A58" s="181"/>
      <c r="B58" s="27"/>
      <c r="C58" s="27"/>
      <c r="D58" s="28"/>
      <c r="E58" s="50"/>
      <c r="F58" s="27"/>
      <c r="G58" s="27"/>
      <c r="H58" s="27"/>
      <c r="I58" s="27"/>
      <c r="J58" s="27"/>
      <c r="K58" s="51"/>
      <c r="L58" s="52"/>
      <c r="M58" s="29"/>
      <c r="N58" s="92"/>
      <c r="O58" s="82"/>
      <c r="Q58" s="133">
        <f t="shared" si="5"/>
        <v>6</v>
      </c>
      <c r="R58" s="10" t="str">
        <f>IFERROR(VLOOKUP(D58,$D$9:D57,1,0),"")</f>
        <v/>
      </c>
    </row>
    <row r="59" spans="1:18" ht="27.6" x14ac:dyDescent="0.3">
      <c r="A59" s="182" t="s">
        <v>67</v>
      </c>
      <c r="B59" s="54">
        <v>1</v>
      </c>
      <c r="C59" s="54">
        <v>3</v>
      </c>
      <c r="D59" s="55" t="s">
        <v>68</v>
      </c>
      <c r="E59" s="59" t="str">
        <f>VLOOKUP($D59,'[2]Khung_CTĐT_CNTT_K30 (2024)'!$B$10:$L$96,'Ke hoach giảng dạy CNTT'!E$6,0)</f>
        <v>Anh văn 7 (AV7)</v>
      </c>
      <c r="F59" s="60">
        <f>VLOOKUP($D59,'[2]Khung_CTĐT_CNTT_K30 (2024)'!$B$10:$L$96,'Ke hoach giảng dạy CNTT'!F$6,0)</f>
        <v>3</v>
      </c>
      <c r="G59" s="60">
        <f>VLOOKUP($D59,'[2]Khung_CTĐT_CNTT_K30 (2024)'!$B$10:$L$96,'Ke hoach giảng dạy CNTT'!G$6,0)</f>
        <v>45</v>
      </c>
      <c r="H59" s="60">
        <f>VLOOKUP($D59,'[2]Khung_CTĐT_CNTT_K30 (2024)'!$B$10:$L$96,'Ke hoach giảng dạy CNTT'!H$6,0)</f>
        <v>0</v>
      </c>
      <c r="I59" s="60">
        <f>VLOOKUP($D59,'[2]Khung_CTĐT_CNTT_K30 (2024)'!$B$10:$L$96,'Ke hoach giảng dạy CNTT'!I$6,0)</f>
        <v>0</v>
      </c>
      <c r="J59" s="60">
        <f>VLOOKUP($D59,'[2]Khung_CTĐT_CNTT_K30 (2024)'!$B$10:$L$96,'Ke hoach giảng dạy CNTT'!J$6,0)</f>
        <v>0</v>
      </c>
      <c r="K59" s="60" t="str">
        <f>VLOOKUP($D59,'[2]Khung_CTĐT_CNTT_K30 (2024)'!$B$10:$L$96,'Ke hoach giảng dạy CNTT'!K$6,0)</f>
        <v>BB</v>
      </c>
      <c r="L59" s="61" t="str">
        <f>VLOOKUP($D59,'[2]Khung_CTĐT_CNTT_K30 (2024)'!$B$10:$L$96,'Ke hoach giảng dạy CNTT'!L$6,0)</f>
        <v>[71ENG610063]Anh văn 6 (AV6)</v>
      </c>
      <c r="M59" s="62" t="str">
        <f>VLOOKUP($D59,'[2]Khung_CTĐT_CNTT_K30 (2024)'!$B$10:$L$96,'Ke hoach giảng dạy CNTT'!M$6,0)</f>
        <v xml:space="preserve">Không </v>
      </c>
      <c r="N59" s="93">
        <f>SUM(F59:F61)+6+3</f>
        <v>14</v>
      </c>
      <c r="O59" s="79"/>
      <c r="P59" s="87">
        <f>P45+N59</f>
        <v>95</v>
      </c>
      <c r="Q59" s="133">
        <v>7</v>
      </c>
      <c r="R59" s="10" t="str">
        <f>IFERROR(VLOOKUP(D59,$D$9:D58,1,0),"")</f>
        <v/>
      </c>
    </row>
    <row r="60" spans="1:18" x14ac:dyDescent="0.3">
      <c r="A60" s="180"/>
      <c r="B60" s="18">
        <v>1</v>
      </c>
      <c r="C60" s="18">
        <v>3</v>
      </c>
      <c r="D60" s="19" t="s">
        <v>69</v>
      </c>
      <c r="E60" s="20" t="str">
        <f>VLOOKUP($D60,'[2]Khung_CTĐT_CNTT_K30 (2024)'!$B$10:$L$96,'Ke hoach giảng dạy CNTT'!E$6,0)</f>
        <v>Pháp luật đại cương</v>
      </c>
      <c r="F60" s="18">
        <f>VLOOKUP($D60,'[2]Khung_CTĐT_CNTT_K30 (2024)'!$B$10:$L$96,'Ke hoach giảng dạy CNTT'!F$6,0)</f>
        <v>2</v>
      </c>
      <c r="G60" s="18">
        <f>VLOOKUP($D60,'[2]Khung_CTĐT_CNTT_K30 (2024)'!$B$10:$L$96,'Ke hoach giảng dạy CNTT'!G$6,0)</f>
        <v>30</v>
      </c>
      <c r="H60" s="18">
        <f>VLOOKUP($D60,'[2]Khung_CTĐT_CNTT_K30 (2024)'!$B$10:$L$96,'Ke hoach giảng dạy CNTT'!H$6,0)</f>
        <v>0</v>
      </c>
      <c r="I60" s="18">
        <f>VLOOKUP($D60,'[2]Khung_CTĐT_CNTT_K30 (2024)'!$B$10:$L$96,'Ke hoach giảng dạy CNTT'!I$6,0)</f>
        <v>0</v>
      </c>
      <c r="J60" s="18">
        <f>VLOOKUP($D60,'[2]Khung_CTĐT_CNTT_K30 (2024)'!$B$10:$L$96,'Ke hoach giảng dạy CNTT'!J$6,0)</f>
        <v>0</v>
      </c>
      <c r="K60" s="18" t="str">
        <f>VLOOKUP($D60,'[2]Khung_CTĐT_CNTT_K30 (2024)'!$B$10:$L$96,'Ke hoach giảng dạy CNTT'!K$6,0)</f>
        <v>BB</v>
      </c>
      <c r="L60" s="21" t="str">
        <f>VLOOKUP($D60,'[2]Khung_CTĐT_CNTT_K30 (2024)'!$B$10:$L$96,'Ke hoach giảng dạy CNTT'!L$6,0)</f>
        <v>Không</v>
      </c>
      <c r="M60" s="22" t="str">
        <f>VLOOKUP($D60,'[2]Khung_CTĐT_CNTT_K30 (2024)'!$B$10:$L$96,'Ke hoach giảng dạy CNTT'!M$6,0)</f>
        <v xml:space="preserve">Không </v>
      </c>
      <c r="N60" s="89"/>
      <c r="O60" s="70"/>
      <c r="Q60" s="133">
        <f t="shared" ref="Q60:Q75" si="6">Q59</f>
        <v>7</v>
      </c>
      <c r="R60" s="10" t="str">
        <f>IFERROR(VLOOKUP(D60,$D$9:D59,1,0),"")</f>
        <v/>
      </c>
    </row>
    <row r="61" spans="1:18" x14ac:dyDescent="0.3">
      <c r="A61" s="180"/>
      <c r="B61" s="18">
        <v>1</v>
      </c>
      <c r="C61" s="18"/>
      <c r="D61" s="19"/>
      <c r="E61" s="20"/>
      <c r="F61" s="18"/>
      <c r="G61" s="18"/>
      <c r="H61" s="18"/>
      <c r="I61" s="18"/>
      <c r="J61" s="18"/>
      <c r="K61" s="18"/>
      <c r="L61" s="21"/>
      <c r="M61" s="22"/>
      <c r="N61" s="89"/>
      <c r="O61" s="70"/>
      <c r="Q61" s="133">
        <f t="shared" si="6"/>
        <v>7</v>
      </c>
      <c r="R61" s="10" t="str">
        <f>IFERROR(VLOOKUP(D61,$D$9:D60,1,0),"")</f>
        <v/>
      </c>
    </row>
    <row r="62" spans="1:18" x14ac:dyDescent="0.3">
      <c r="A62" s="180"/>
      <c r="B62" s="38"/>
      <c r="C62" s="42" t="s">
        <v>57</v>
      </c>
      <c r="D62" s="42"/>
      <c r="E62" s="39"/>
      <c r="F62" s="38"/>
      <c r="G62" s="38"/>
      <c r="H62" s="38"/>
      <c r="I62" s="38"/>
      <c r="J62" s="38"/>
      <c r="K62" s="38"/>
      <c r="L62" s="40"/>
      <c r="M62" s="41"/>
      <c r="N62" s="125"/>
      <c r="O62" s="127"/>
      <c r="Q62" s="133">
        <f t="shared" si="6"/>
        <v>7</v>
      </c>
      <c r="R62" s="10" t="str">
        <f>IFERROR(VLOOKUP(D62,$D$9:D61,1,0),"")</f>
        <v/>
      </c>
    </row>
    <row r="63" spans="1:18" ht="21" customHeight="1" x14ac:dyDescent="0.3">
      <c r="A63" s="180"/>
      <c r="B63" s="18">
        <v>1</v>
      </c>
      <c r="C63" s="18">
        <v>3</v>
      </c>
      <c r="D63" s="19" t="s">
        <v>70</v>
      </c>
      <c r="E63" s="23" t="str">
        <f>VLOOKUP($D63,'[2]Khung_CTĐT_CNTT_K30 (2024)'!$B$10:$L$96,'Ke hoach giảng dạy CNTT'!E$6,0)</f>
        <v xml:space="preserve">Kỹ thuật lấy yêu cầu </v>
      </c>
      <c r="F63" s="24">
        <f>VLOOKUP($D63,'[2]Khung_CTĐT_CNTT_K30 (2024)'!$B$10:$L$96,'Ke hoach giảng dạy CNTT'!F$6,0)</f>
        <v>3</v>
      </c>
      <c r="G63" s="24">
        <f>VLOOKUP($D63,'[2]Khung_CTĐT_CNTT_K30 (2024)'!$B$10:$L$96,'Ke hoach giảng dạy CNTT'!G$6,0)</f>
        <v>30</v>
      </c>
      <c r="H63" s="24">
        <f>VLOOKUP($D63,'[2]Khung_CTĐT_CNTT_K30 (2024)'!$B$10:$L$96,'Ke hoach giảng dạy CNTT'!H$6,0)</f>
        <v>30</v>
      </c>
      <c r="I63" s="24">
        <f>VLOOKUP($D63,'[2]Khung_CTĐT_CNTT_K30 (2024)'!$B$10:$L$96,'Ke hoach giảng dạy CNTT'!I$6,0)</f>
        <v>0</v>
      </c>
      <c r="J63" s="24">
        <f>VLOOKUP($D63,'[2]Khung_CTĐT_CNTT_K30 (2024)'!$B$10:$L$96,'Ke hoach giảng dạy CNTT'!J$6,0)</f>
        <v>0</v>
      </c>
      <c r="K63" s="24" t="str">
        <f>VLOOKUP($D63,'[2]Khung_CTĐT_CNTT_K30 (2024)'!$B$10:$L$96,'Ke hoach giảng dạy CNTT'!K$6,0)</f>
        <v>BB</v>
      </c>
      <c r="L63" s="25" t="str">
        <f>VLOOKUP($D63,'[2]Khung_CTĐT_CNTT_K30 (2024)'!$B$10:$L$96,'Ke hoach giảng dạy CNTT'!L$6,0)</f>
        <v>Không</v>
      </c>
      <c r="M63" s="26" t="str">
        <f>VLOOKUP($D63,'[2]Khung_CTĐT_CNTT_K30 (2024)'!$B$10:$L$96,'Ke hoach giảng dạy CNTT'!M$6,0)</f>
        <v>[71ITSE41003]Nhập môn công nghệ phần mềm</v>
      </c>
      <c r="N63" s="89"/>
      <c r="O63" s="70"/>
      <c r="Q63" s="133">
        <f t="shared" si="6"/>
        <v>7</v>
      </c>
      <c r="R63" s="10" t="str">
        <f>IFERROR(VLOOKUP(D63,$D$9:D62,1,0),"")</f>
        <v/>
      </c>
    </row>
    <row r="64" spans="1:18" ht="21" customHeight="1" x14ac:dyDescent="0.3">
      <c r="A64" s="180"/>
      <c r="B64" s="18">
        <v>1</v>
      </c>
      <c r="C64" s="18">
        <v>3</v>
      </c>
      <c r="D64" s="19" t="s">
        <v>71</v>
      </c>
      <c r="E64" s="23" t="str">
        <f>VLOOKUP($D64,'[2]Khung_CTĐT_CNTT_K30 (2024)'!$B$10:$L$96,'Ke hoach giảng dạy CNTT'!E$6,0)</f>
        <v xml:space="preserve">Kiểm thử phần mềm </v>
      </c>
      <c r="F64" s="24">
        <f>VLOOKUP($D64,'[2]Khung_CTĐT_CNTT_K30 (2024)'!$B$10:$L$96,'Ke hoach giảng dạy CNTT'!F$6,0)</f>
        <v>3</v>
      </c>
      <c r="G64" s="24">
        <f>VLOOKUP($D64,'[2]Khung_CTĐT_CNTT_K30 (2024)'!$B$10:$L$96,'Ke hoach giảng dạy CNTT'!G$6,0)</f>
        <v>30</v>
      </c>
      <c r="H64" s="24">
        <f>VLOOKUP($D64,'[2]Khung_CTĐT_CNTT_K30 (2024)'!$B$10:$L$96,'Ke hoach giảng dạy CNTT'!H$6,0)</f>
        <v>30</v>
      </c>
      <c r="I64" s="24">
        <f>VLOOKUP($D64,'[2]Khung_CTĐT_CNTT_K30 (2024)'!$B$10:$L$96,'Ke hoach giảng dạy CNTT'!I$6,0)</f>
        <v>0</v>
      </c>
      <c r="J64" s="24">
        <f>VLOOKUP($D64,'[2]Khung_CTĐT_CNTT_K30 (2024)'!$B$10:$L$96,'Ke hoach giảng dạy CNTT'!J$6,0)</f>
        <v>0</v>
      </c>
      <c r="K64" s="24" t="str">
        <f>VLOOKUP($D64,'[2]Khung_CTĐT_CNTT_K30 (2024)'!$B$10:$L$96,'Ke hoach giảng dạy CNTT'!K$6,0)</f>
        <v>BB</v>
      </c>
      <c r="L64" s="25" t="str">
        <f>VLOOKUP($D64,'[2]Khung_CTĐT_CNTT_K30 (2024)'!$B$10:$L$96,'Ke hoach giảng dạy CNTT'!L$6,0)</f>
        <v>Không</v>
      </c>
      <c r="M64" s="26" t="str">
        <f>VLOOKUP($D64,'[2]Khung_CTĐT_CNTT_K30 (2024)'!$B$10:$L$96,'Ke hoach giảng dạy CNTT'!M$6,0)</f>
        <v>[71ITSE41003]Nhập môn công nghệ phần mềm</v>
      </c>
      <c r="N64" s="89"/>
      <c r="O64" s="70"/>
      <c r="Q64" s="133">
        <f t="shared" si="6"/>
        <v>7</v>
      </c>
      <c r="R64" s="10" t="str">
        <f>IFERROR(VLOOKUP(D64,$D$9:D63,1,0),"")</f>
        <v/>
      </c>
    </row>
    <row r="65" spans="1:18" x14ac:dyDescent="0.3">
      <c r="A65" s="180"/>
      <c r="B65" s="72"/>
      <c r="C65" s="73" t="s">
        <v>59</v>
      </c>
      <c r="D65" s="73"/>
      <c r="E65" s="74"/>
      <c r="F65" s="72"/>
      <c r="G65" s="72"/>
      <c r="H65" s="72"/>
      <c r="I65" s="72"/>
      <c r="J65" s="72"/>
      <c r="K65" s="72"/>
      <c r="L65" s="75"/>
      <c r="M65" s="76"/>
      <c r="N65" s="125"/>
      <c r="O65" s="127"/>
      <c r="Q65" s="133">
        <f t="shared" si="6"/>
        <v>7</v>
      </c>
      <c r="R65" s="10" t="str">
        <f>IFERROR(VLOOKUP(D65,$D$9:D64,1,0),"")</f>
        <v/>
      </c>
    </row>
    <row r="66" spans="1:18" ht="21.6" customHeight="1" x14ac:dyDescent="0.3">
      <c r="A66" s="180"/>
      <c r="B66" s="18">
        <v>1</v>
      </c>
      <c r="C66" s="18">
        <v>3</v>
      </c>
      <c r="D66" s="19" t="s">
        <v>72</v>
      </c>
      <c r="E66" s="23" t="str">
        <f>VLOOKUP($D66,'[2]Khung_CTĐT_CNTT_K30 (2024)'!$B$10:$L$96,'Ke hoach giảng dạy CNTT'!E$6,0)</f>
        <v xml:space="preserve">Nhập môn học máy </v>
      </c>
      <c r="F66" s="24">
        <f>VLOOKUP($D66,'[2]Khung_CTĐT_CNTT_K30 (2024)'!$B$10:$L$96,'Ke hoach giảng dạy CNTT'!F$6,0)</f>
        <v>3</v>
      </c>
      <c r="G66" s="24">
        <f>VLOOKUP($D66,'[2]Khung_CTĐT_CNTT_K30 (2024)'!$B$10:$L$96,'Ke hoach giảng dạy CNTT'!G$6,0)</f>
        <v>30</v>
      </c>
      <c r="H66" s="24">
        <f>VLOOKUP($D66,'[2]Khung_CTĐT_CNTT_K30 (2024)'!$B$10:$L$96,'Ke hoach giảng dạy CNTT'!H$6,0)</f>
        <v>30</v>
      </c>
      <c r="I66" s="24">
        <f>VLOOKUP($D66,'[2]Khung_CTĐT_CNTT_K30 (2024)'!$B$10:$L$96,'Ke hoach giảng dạy CNTT'!I$6,0)</f>
        <v>0</v>
      </c>
      <c r="J66" s="24">
        <f>VLOOKUP($D66,'[2]Khung_CTĐT_CNTT_K30 (2024)'!$B$10:$L$96,'Ke hoach giảng dạy CNTT'!J$6,0)</f>
        <v>0</v>
      </c>
      <c r="K66" s="24" t="str">
        <f>VLOOKUP($D66,'[2]Khung_CTĐT_CNTT_K30 (2024)'!$B$10:$L$96,'Ke hoach giảng dạy CNTT'!K$6,0)</f>
        <v>BB</v>
      </c>
      <c r="L66" s="25" t="str">
        <f>VLOOKUP($D66,'[2]Khung_CTĐT_CNTT_K30 (2024)'!$B$10:$L$96,'Ke hoach giảng dạy CNTT'!L$6,0)</f>
        <v>Không</v>
      </c>
      <c r="M66" s="26" t="str">
        <f>VLOOKUP($D66,'[2]Khung_CTĐT_CNTT_K30 (2024)'!$B$10:$L$96,'Ke hoach giảng dạy CNTT'!M$6,0)</f>
        <v>[71ITDS40203]Xác xuất thống kê ứng dụng</v>
      </c>
      <c r="N66" s="89"/>
      <c r="O66" s="70"/>
      <c r="Q66" s="133">
        <f t="shared" si="6"/>
        <v>7</v>
      </c>
      <c r="R66" s="10" t="str">
        <f>IFERROR(VLOOKUP(D66,$D$9:D65,1,0),"")</f>
        <v/>
      </c>
    </row>
    <row r="67" spans="1:18" ht="21.6" customHeight="1" x14ac:dyDescent="0.3">
      <c r="A67" s="180"/>
      <c r="B67" s="18">
        <v>1</v>
      </c>
      <c r="C67" s="18">
        <v>3</v>
      </c>
      <c r="D67" s="19" t="s">
        <v>73</v>
      </c>
      <c r="E67" s="23" t="str">
        <f>VLOOKUP($D67,'[2]Khung_CTĐT_CNTT_K30 (2024)'!$B$10:$L$96,'Ke hoach giảng dạy CNTT'!E$6,0)</f>
        <v xml:space="preserve">Các hệ hỗ trợ ra quyết định </v>
      </c>
      <c r="F67" s="24">
        <f>VLOOKUP($D67,'[2]Khung_CTĐT_CNTT_K30 (2024)'!$B$10:$L$96,'Ke hoach giảng dạy CNTT'!F$6,0)</f>
        <v>3</v>
      </c>
      <c r="G67" s="24">
        <f>VLOOKUP($D67,'[2]Khung_CTĐT_CNTT_K30 (2024)'!$B$10:$L$96,'Ke hoach giảng dạy CNTT'!G$6,0)</f>
        <v>30</v>
      </c>
      <c r="H67" s="24">
        <f>VLOOKUP($D67,'[2]Khung_CTĐT_CNTT_K30 (2024)'!$B$10:$L$96,'Ke hoach giảng dạy CNTT'!H$6,0)</f>
        <v>30</v>
      </c>
      <c r="I67" s="24">
        <f>VLOOKUP($D67,'[2]Khung_CTĐT_CNTT_K30 (2024)'!$B$10:$L$96,'Ke hoach giảng dạy CNTT'!I$6,0)</f>
        <v>0</v>
      </c>
      <c r="J67" s="24">
        <f>VLOOKUP($D67,'[2]Khung_CTĐT_CNTT_K30 (2024)'!$B$10:$L$96,'Ke hoach giảng dạy CNTT'!J$6,0)</f>
        <v>0</v>
      </c>
      <c r="K67" s="24" t="str">
        <f>VLOOKUP($D67,'[2]Khung_CTĐT_CNTT_K30 (2024)'!$B$10:$L$96,'Ke hoach giảng dạy CNTT'!K$6,0)</f>
        <v>BB</v>
      </c>
      <c r="L67" s="25" t="str">
        <f>VLOOKUP($D67,'[2]Khung_CTĐT_CNTT_K30 (2024)'!$B$10:$L$96,'Ke hoach giảng dạy CNTT'!L$6,0)</f>
        <v>Không</v>
      </c>
      <c r="M67" s="26" t="str">
        <f>VLOOKUP($D67,'[2]Khung_CTĐT_CNTT_K30 (2024)'!$B$10:$L$96,'Ke hoach giảng dạy CNTT'!M$6,0)</f>
        <v>Không</v>
      </c>
      <c r="N67" s="89"/>
      <c r="O67" s="70"/>
      <c r="Q67" s="133">
        <f t="shared" si="6"/>
        <v>7</v>
      </c>
      <c r="R67" s="10" t="str">
        <f>IFERROR(VLOOKUP(D67,$D$9:D66,1,0),"")</f>
        <v/>
      </c>
    </row>
    <row r="68" spans="1:18" x14ac:dyDescent="0.3">
      <c r="A68" s="180"/>
      <c r="B68" s="38"/>
      <c r="C68" s="42" t="s">
        <v>61</v>
      </c>
      <c r="D68" s="42"/>
      <c r="E68" s="39"/>
      <c r="F68" s="43"/>
      <c r="G68" s="38"/>
      <c r="H68" s="38"/>
      <c r="I68" s="38"/>
      <c r="J68" s="38"/>
      <c r="K68" s="38"/>
      <c r="L68" s="40"/>
      <c r="M68" s="41"/>
      <c r="N68" s="125"/>
      <c r="O68" s="127"/>
      <c r="Q68" s="133">
        <f t="shared" si="6"/>
        <v>7</v>
      </c>
      <c r="R68" s="10" t="str">
        <f>IFERROR(VLOOKUP(D68,$D$9:D67,1,0),"")</f>
        <v/>
      </c>
    </row>
    <row r="69" spans="1:18" x14ac:dyDescent="0.3">
      <c r="A69" s="180"/>
      <c r="B69" s="18">
        <v>1</v>
      </c>
      <c r="C69" s="18">
        <v>3</v>
      </c>
      <c r="D69" s="25" t="s">
        <v>74</v>
      </c>
      <c r="E69" s="23" t="str">
        <f>VLOOKUP($D69,'[2]Khung_CTĐT_CNTT_K30 (2024)'!$B$10:$L$96,'Ke hoach giảng dạy CNTT'!E$6,0)</f>
        <v>Học máy ứng dụng</v>
      </c>
      <c r="F69" s="18">
        <f>VLOOKUP($D69,'[2]Khung_CTĐT_CNTT_K30 (2024)'!$B$10:$L$96,'Ke hoach giảng dạy CNTT'!F$6,0)</f>
        <v>3</v>
      </c>
      <c r="G69" s="18">
        <f>VLOOKUP($D69,'[2]Khung_CTĐT_CNTT_K30 (2024)'!$B$10:$L$96,'Ke hoach giảng dạy CNTT'!G$6,0)</f>
        <v>30</v>
      </c>
      <c r="H69" s="18">
        <f>VLOOKUP($D69,'[2]Khung_CTĐT_CNTT_K30 (2024)'!$B$10:$L$96,'Ke hoach giảng dạy CNTT'!H$6,0)</f>
        <v>30</v>
      </c>
      <c r="I69" s="18">
        <f>VLOOKUP($D69,'[2]Khung_CTĐT_CNTT_K30 (2024)'!$B$10:$L$96,'Ke hoach giảng dạy CNTT'!I$6,0)</f>
        <v>0</v>
      </c>
      <c r="J69" s="18">
        <f>VLOOKUP($D69,'[2]Khung_CTĐT_CNTT_K30 (2024)'!$B$10:$L$96,'Ke hoach giảng dạy CNTT'!J$6,0)</f>
        <v>0</v>
      </c>
      <c r="K69" s="18" t="str">
        <f>VLOOKUP($D69,'[2]Khung_CTĐT_CNTT_K30 (2024)'!$B$10:$L$96,'Ke hoach giảng dạy CNTT'!K$6,0)</f>
        <v>BB</v>
      </c>
      <c r="L69" s="21" t="str">
        <f>VLOOKUP($D69,'[2]Khung_CTĐT_CNTT_K30 (2024)'!$B$10:$L$96,'Ke hoach giảng dạy CNTT'!L$6,0)</f>
        <v>Không</v>
      </c>
      <c r="M69" s="22" t="str">
        <f>VLOOKUP($D69,'[2]Khung_CTĐT_CNTT_K30 (2024)'!$B$10:$L$96,'Ke hoach giảng dạy CNTT'!M$6,0)</f>
        <v>[71ITDS40203]Xác xuất thống kê ứng dụng</v>
      </c>
      <c r="N69" s="89"/>
      <c r="O69" s="70"/>
      <c r="Q69" s="133">
        <f t="shared" si="6"/>
        <v>7</v>
      </c>
      <c r="R69" s="10" t="str">
        <f>IFERROR(VLOOKUP(D69,$D$9:D68,1,0),"")</f>
        <v/>
      </c>
    </row>
    <row r="70" spans="1:18" x14ac:dyDescent="0.3">
      <c r="A70" s="180"/>
      <c r="B70" s="18">
        <v>1</v>
      </c>
      <c r="C70" s="18">
        <v>3</v>
      </c>
      <c r="D70" s="25" t="s">
        <v>75</v>
      </c>
      <c r="E70" s="23" t="str">
        <f>VLOOKUP($D70,'[2]Khung_CTĐT_CNTT_K30 (2024)'!$B$10:$L$96,'Ke hoach giảng dạy CNTT'!E$6,0)</f>
        <v>Trí tuệ nhân tạo ứng dụng</v>
      </c>
      <c r="F70" s="18">
        <f>VLOOKUP($D70,'[2]Khung_CTĐT_CNTT_K30 (2024)'!$B$10:$L$96,'Ke hoach giảng dạy CNTT'!F$6,0)</f>
        <v>3</v>
      </c>
      <c r="G70" s="18">
        <f>VLOOKUP($D70,'[2]Khung_CTĐT_CNTT_K30 (2024)'!$B$10:$L$96,'Ke hoach giảng dạy CNTT'!G$6,0)</f>
        <v>30</v>
      </c>
      <c r="H70" s="18">
        <f>VLOOKUP($D70,'[2]Khung_CTĐT_CNTT_K30 (2024)'!$B$10:$L$96,'Ke hoach giảng dạy CNTT'!H$6,0)</f>
        <v>30</v>
      </c>
      <c r="I70" s="18">
        <f>VLOOKUP($D70,'[2]Khung_CTĐT_CNTT_K30 (2024)'!$B$10:$L$96,'Ke hoach giảng dạy CNTT'!I$6,0)</f>
        <v>0</v>
      </c>
      <c r="J70" s="18">
        <f>VLOOKUP($D70,'[2]Khung_CTĐT_CNTT_K30 (2024)'!$B$10:$L$96,'Ke hoach giảng dạy CNTT'!J$6,0)</f>
        <v>0</v>
      </c>
      <c r="K70" s="18" t="str">
        <f>VLOOKUP($D70,'[2]Khung_CTĐT_CNTT_K30 (2024)'!$B$10:$L$96,'Ke hoach giảng dạy CNTT'!K$6,0)</f>
        <v>BB</v>
      </c>
      <c r="L70" s="21" t="str">
        <f>VLOOKUP($D70,'[2]Khung_CTĐT_CNTT_K30 (2024)'!$B$10:$L$96,'Ke hoach giảng dạy CNTT'!L$6,0)</f>
        <v>Không</v>
      </c>
      <c r="M70" s="22" t="str">
        <f>VLOOKUP($D70,'[2]Khung_CTĐT_CNTT_K30 (2024)'!$B$10:$L$96,'Ke hoach giảng dạy CNTT'!M$6,0)</f>
        <v>[71ITDS40203]Xác xuất thống kê ứng dụng</v>
      </c>
      <c r="N70" s="89"/>
      <c r="O70" s="70"/>
      <c r="Q70" s="133">
        <f t="shared" si="6"/>
        <v>7</v>
      </c>
      <c r="R70" s="10" t="str">
        <f>IFERROR(VLOOKUP(D70,$D$9:D69,1,0),"")</f>
        <v/>
      </c>
    </row>
    <row r="71" spans="1:18" x14ac:dyDescent="0.3">
      <c r="A71" s="180"/>
      <c r="B71" s="38"/>
      <c r="C71" s="42" t="s">
        <v>76</v>
      </c>
      <c r="D71" s="73"/>
      <c r="E71" s="74"/>
      <c r="F71" s="43"/>
      <c r="G71" s="38"/>
      <c r="H71" s="38"/>
      <c r="I71" s="38"/>
      <c r="J71" s="38"/>
      <c r="K71" s="38"/>
      <c r="L71" s="40"/>
      <c r="M71" s="41"/>
      <c r="N71" s="125"/>
      <c r="O71" s="127"/>
      <c r="Q71" s="133">
        <f t="shared" si="6"/>
        <v>7</v>
      </c>
      <c r="R71" s="10" t="str">
        <f>IFERROR(VLOOKUP(D71,$D$9:D70,1,0),"")</f>
        <v/>
      </c>
    </row>
    <row r="72" spans="1:18" x14ac:dyDescent="0.3">
      <c r="A72" s="180"/>
      <c r="B72" s="18">
        <v>1</v>
      </c>
      <c r="C72" s="18">
        <v>3</v>
      </c>
      <c r="D72" s="19" t="s">
        <v>77</v>
      </c>
      <c r="E72" s="23" t="str">
        <f>VLOOKUP($D72,'[2]Khung_CTĐT_CNTT_K30 (2024)'!$B$10:$L$96,'Ke hoach giảng dạy CNTT'!E$6,0)</f>
        <v xml:space="preserve">Lập trình ứng dụng di động </v>
      </c>
      <c r="F72" s="18">
        <f>VLOOKUP($D72,'[2]Khung_CTĐT_CNTT_K30 (2024)'!$B$10:$L$96,'Ke hoach giảng dạy CNTT'!F$6,0)</f>
        <v>3</v>
      </c>
      <c r="G72" s="18">
        <f>VLOOKUP($D72,'[2]Khung_CTĐT_CNTT_K30 (2024)'!$B$10:$L$96,'Ke hoach giảng dạy CNTT'!G$6,0)</f>
        <v>30</v>
      </c>
      <c r="H72" s="18">
        <f>VLOOKUP($D72,'[2]Khung_CTĐT_CNTT_K30 (2024)'!$B$10:$L$96,'Ke hoach giảng dạy CNTT'!H$6,0)</f>
        <v>30</v>
      </c>
      <c r="I72" s="18">
        <f>VLOOKUP($D72,'[2]Khung_CTĐT_CNTT_K30 (2024)'!$B$10:$L$96,'Ke hoach giảng dạy CNTT'!I$6,0)</f>
        <v>0</v>
      </c>
      <c r="J72" s="18">
        <f>VLOOKUP($D72,'[2]Khung_CTĐT_CNTT_K30 (2024)'!$B$10:$L$96,'Ke hoach giảng dạy CNTT'!J$6,0)</f>
        <v>0</v>
      </c>
      <c r="K72" s="18" t="str">
        <f>VLOOKUP($D72,'[2]Khung_CTĐT_CNTT_K30 (2024)'!$B$10:$L$96,'Ke hoach giảng dạy CNTT'!K$6,0)</f>
        <v>TC309</v>
      </c>
      <c r="L72" s="21" t="str">
        <f>VLOOKUP($D72,'[2]Khung_CTĐT_CNTT_K30 (2024)'!$B$10:$L$96,'Ke hoach giảng dạy CNTT'!L$6,0)</f>
        <v>Không</v>
      </c>
      <c r="M72" s="22" t="str">
        <f>VLOOKUP($D72,'[2]Khung_CTĐT_CNTT_K30 (2024)'!$B$10:$L$96,'Ke hoach giảng dạy CNTT'!M$6,0)</f>
        <v>[71ITBS10203]Cơ sở lập trình</v>
      </c>
      <c r="N72" s="89"/>
      <c r="O72" s="70"/>
      <c r="Q72" s="133">
        <f t="shared" si="6"/>
        <v>7</v>
      </c>
      <c r="R72" s="10" t="str">
        <f>IFERROR(VLOOKUP(D72,$D$9:D71,1,0),"")</f>
        <v/>
      </c>
    </row>
    <row r="73" spans="1:18" x14ac:dyDescent="0.3">
      <c r="A73" s="180"/>
      <c r="B73" s="18">
        <v>1</v>
      </c>
      <c r="C73" s="18">
        <v>3</v>
      </c>
      <c r="D73" s="19" t="s">
        <v>78</v>
      </c>
      <c r="E73" s="23" t="str">
        <f>VLOOKUP($D73,'[2]Khung_CTĐT_CNTT_K30 (2024)'!$B$10:$L$96,'Ke hoach giảng dạy CNTT'!E$6,0)</f>
        <v>Nhập môn tối ưu hóa</v>
      </c>
      <c r="F73" s="24">
        <f>VLOOKUP($D73,'[2]Khung_CTĐT_CNTT_K30 (2024)'!$B$10:$L$96,'Ke hoach giảng dạy CNTT'!F$6,0)</f>
        <v>3</v>
      </c>
      <c r="G73" s="24">
        <f>VLOOKUP($D73,'[2]Khung_CTĐT_CNTT_K30 (2024)'!$B$10:$L$96,'Ke hoach giảng dạy CNTT'!G$6,0)</f>
        <v>30</v>
      </c>
      <c r="H73" s="24">
        <f>VLOOKUP($D73,'[2]Khung_CTĐT_CNTT_K30 (2024)'!$B$10:$L$96,'Ke hoach giảng dạy CNTT'!H$6,0)</f>
        <v>30</v>
      </c>
      <c r="I73" s="24">
        <f>VLOOKUP($D73,'[2]Khung_CTĐT_CNTT_K30 (2024)'!$B$10:$L$96,'Ke hoach giảng dạy CNTT'!I$6,0)</f>
        <v>0</v>
      </c>
      <c r="J73" s="24">
        <f>VLOOKUP($D73,'[2]Khung_CTĐT_CNTT_K30 (2024)'!$B$10:$L$96,'Ke hoach giảng dạy CNTT'!J$6,0)</f>
        <v>0</v>
      </c>
      <c r="K73" s="24" t="str">
        <f>VLOOKUP($D73,'[2]Khung_CTĐT_CNTT_K30 (2024)'!$B$10:$L$96,'Ke hoach giảng dạy CNTT'!K$6,0)</f>
        <v>TC309</v>
      </c>
      <c r="L73" s="25" t="str">
        <f>VLOOKUP($D73,'[2]Khung_CTĐT_CNTT_K30 (2024)'!$B$10:$L$96,'Ke hoach giảng dạy CNTT'!L$6,0)</f>
        <v>Không</v>
      </c>
      <c r="M73" s="22" t="str">
        <f>VLOOKUP($D73,'[2]Khung_CTĐT_CNTT_K30 (2024)'!$B$10:$L$96,'Ke hoach giảng dạy CNTT'!M$6,0)</f>
        <v>Không</v>
      </c>
      <c r="N73" s="89"/>
      <c r="O73" s="70"/>
      <c r="Q73" s="133">
        <f t="shared" si="6"/>
        <v>7</v>
      </c>
      <c r="R73" s="10" t="str">
        <f>IFERROR(VLOOKUP(D73,$D$9:D72,1,0),"")</f>
        <v/>
      </c>
    </row>
    <row r="74" spans="1:18" ht="27.6" x14ac:dyDescent="0.3">
      <c r="A74" s="180"/>
      <c r="B74" s="18">
        <v>1</v>
      </c>
      <c r="C74" s="18">
        <v>3</v>
      </c>
      <c r="D74" s="19" t="s">
        <v>79</v>
      </c>
      <c r="E74" s="23" t="str">
        <f>VLOOKUP($D74,'[2]Khung_CTĐT_CNTT_K30 (2024)'!$B$10:$L$96,'Ke hoach giảng dạy CNTT'!E$6,0)</f>
        <v>Lập trình Hệ thống nhúng và Mạng kết nối vạn vật</v>
      </c>
      <c r="F74" s="24">
        <f>VLOOKUP($D74,'[2]Khung_CTĐT_CNTT_K30 (2024)'!$B$10:$L$96,'Ke hoach giảng dạy CNTT'!F$6,0)</f>
        <v>3</v>
      </c>
      <c r="G74" s="24">
        <f>VLOOKUP($D74,'[2]Khung_CTĐT_CNTT_K30 (2024)'!$B$10:$L$96,'Ke hoach giảng dạy CNTT'!G$6,0)</f>
        <v>30</v>
      </c>
      <c r="H74" s="24">
        <f>VLOOKUP($D74,'[2]Khung_CTĐT_CNTT_K30 (2024)'!$B$10:$L$96,'Ke hoach giảng dạy CNTT'!H$6,0)</f>
        <v>30</v>
      </c>
      <c r="I74" s="24">
        <f>VLOOKUP($D74,'[2]Khung_CTĐT_CNTT_K30 (2024)'!$B$10:$L$96,'Ke hoach giảng dạy CNTT'!I$6,0)</f>
        <v>0</v>
      </c>
      <c r="J74" s="24">
        <f>VLOOKUP($D74,'[2]Khung_CTĐT_CNTT_K30 (2024)'!$B$10:$L$96,'Ke hoach giảng dạy CNTT'!J$6,0)</f>
        <v>0</v>
      </c>
      <c r="K74" s="24" t="str">
        <f>VLOOKUP($D74,'[2]Khung_CTĐT_CNTT_K30 (2024)'!$B$10:$L$96,'Ke hoach giảng dạy CNTT'!K$6,0)</f>
        <v>TC309</v>
      </c>
      <c r="L74" s="25" t="str">
        <f>VLOOKUP($D74,'[2]Khung_CTĐT_CNTT_K30 (2024)'!$B$10:$L$96,'Ke hoach giảng dạy CNTT'!L$6,0)</f>
        <v>Không</v>
      </c>
      <c r="M74" s="22" t="str">
        <f>VLOOKUP($D74,'[2]Khung_CTĐT_CNTT_K30 (2024)'!$B$10:$L$96,'Ke hoach giảng dạy CNTT'!M$6,0)</f>
        <v xml:space="preserve">Không </v>
      </c>
      <c r="N74" s="89"/>
      <c r="O74" s="70"/>
      <c r="Q74" s="133">
        <f t="shared" si="6"/>
        <v>7</v>
      </c>
      <c r="R74" s="10" t="str">
        <f>IFERROR(VLOOKUP(D74,$D$9:D73,1,0),"")</f>
        <v/>
      </c>
    </row>
    <row r="75" spans="1:18" ht="17.399999999999999" thickBot="1" x14ac:dyDescent="0.35">
      <c r="A75" s="180"/>
      <c r="B75" s="32">
        <v>1</v>
      </c>
      <c r="C75" s="32"/>
      <c r="D75" s="83"/>
      <c r="E75" s="84"/>
      <c r="F75" s="32"/>
      <c r="G75" s="32"/>
      <c r="H75" s="32"/>
      <c r="I75" s="32"/>
      <c r="J75" s="32"/>
      <c r="K75" s="32"/>
      <c r="L75" s="77"/>
      <c r="M75" s="44"/>
      <c r="N75" s="90"/>
      <c r="O75" s="78"/>
      <c r="Q75" s="133">
        <f t="shared" si="6"/>
        <v>7</v>
      </c>
      <c r="R75" s="10" t="str">
        <f>IFERROR(VLOOKUP(D75,$D$9:D74,1,0),"")</f>
        <v/>
      </c>
    </row>
    <row r="76" spans="1:18" x14ac:dyDescent="0.3">
      <c r="A76" s="179" t="s">
        <v>80</v>
      </c>
      <c r="B76" s="45"/>
      <c r="C76" s="45"/>
      <c r="D76" s="85"/>
      <c r="E76" s="86"/>
      <c r="F76" s="45"/>
      <c r="G76" s="45"/>
      <c r="H76" s="45"/>
      <c r="I76" s="45"/>
      <c r="J76" s="45"/>
      <c r="K76" s="45"/>
      <c r="L76" s="57"/>
      <c r="M76" s="58"/>
      <c r="N76" s="91">
        <f>9+6</f>
        <v>15</v>
      </c>
      <c r="O76" s="80"/>
      <c r="P76" s="87">
        <f>P59+N76</f>
        <v>110</v>
      </c>
      <c r="Q76" s="133">
        <v>8</v>
      </c>
      <c r="R76" s="10" t="str">
        <f>IFERROR(VLOOKUP(D76,$D$9:D75,1,0),"")</f>
        <v/>
      </c>
    </row>
    <row r="77" spans="1:18" x14ac:dyDescent="0.3">
      <c r="A77" s="180"/>
      <c r="B77" s="38"/>
      <c r="C77" s="42" t="s">
        <v>57</v>
      </c>
      <c r="D77" s="42"/>
      <c r="E77" s="39"/>
      <c r="F77" s="38"/>
      <c r="G77" s="38"/>
      <c r="H77" s="38"/>
      <c r="I77" s="38"/>
      <c r="J77" s="38"/>
      <c r="K77" s="38"/>
      <c r="L77" s="40"/>
      <c r="M77" s="41"/>
      <c r="N77" s="125"/>
      <c r="O77" s="126"/>
      <c r="Q77" s="133">
        <f t="shared" ref="Q77:Q93" si="7">Q76</f>
        <v>8</v>
      </c>
      <c r="R77" s="10" t="str">
        <f>IFERROR(VLOOKUP(D77,$D$9:D76,1,0),"")</f>
        <v/>
      </c>
    </row>
    <row r="78" spans="1:18" ht="23.1" customHeight="1" x14ac:dyDescent="0.3">
      <c r="A78" s="180"/>
      <c r="B78" s="18">
        <v>2</v>
      </c>
      <c r="C78" s="18">
        <v>3</v>
      </c>
      <c r="D78" s="19" t="s">
        <v>81</v>
      </c>
      <c r="E78" s="23" t="str">
        <f>VLOOKUP($D78,'[2]Khung_CTĐT_CNTT_K30 (2024)'!$B$10:$L$96,'Ke hoach giảng dạy CNTT'!E$6,0)</f>
        <v xml:space="preserve">Lập trình Web nâng cao </v>
      </c>
      <c r="F78" s="24">
        <f>VLOOKUP($D78,'[2]Khung_CTĐT_CNTT_K30 (2024)'!$B$10:$L$96,'Ke hoach giảng dạy CNTT'!F$6,0)</f>
        <v>3</v>
      </c>
      <c r="G78" s="24">
        <f>VLOOKUP($D78,'[2]Khung_CTĐT_CNTT_K30 (2024)'!$B$10:$L$96,'Ke hoach giảng dạy CNTT'!G$6,0)</f>
        <v>30</v>
      </c>
      <c r="H78" s="24">
        <f>VLOOKUP($D78,'[2]Khung_CTĐT_CNTT_K30 (2024)'!$B$10:$L$96,'Ke hoach giảng dạy CNTT'!H$6,0)</f>
        <v>30</v>
      </c>
      <c r="I78" s="24">
        <f>VLOOKUP($D78,'[2]Khung_CTĐT_CNTT_K30 (2024)'!$B$10:$L$96,'Ke hoach giảng dạy CNTT'!I$6,0)</f>
        <v>0</v>
      </c>
      <c r="J78" s="24">
        <f>VLOOKUP($D78,'[2]Khung_CTĐT_CNTT_K30 (2024)'!$B$10:$L$96,'Ke hoach giảng dạy CNTT'!J$6,0)</f>
        <v>0</v>
      </c>
      <c r="K78" s="24" t="str">
        <f>VLOOKUP($D78,'[2]Khung_CTĐT_CNTT_K30 (2024)'!$B$10:$L$96,'Ke hoach giảng dạy CNTT'!K$6,0)</f>
        <v>BB</v>
      </c>
      <c r="L78" s="25" t="str">
        <f>VLOOKUP($D78,'[2]Khung_CTĐT_CNTT_K30 (2024)'!$B$10:$L$96,'Ke hoach giảng dạy CNTT'!L$6,0)</f>
        <v>Không</v>
      </c>
      <c r="M78" s="26" t="str">
        <f>VLOOKUP($D78,'[2]Khung_CTĐT_CNTT_K30 (2024)'!$B$10:$L$96,'Ke hoach giảng dạy CNTT'!M$6,0)</f>
        <v>[71ITSE30503]Lập trình ứng dụng web</v>
      </c>
      <c r="N78" s="89"/>
      <c r="O78" s="81"/>
      <c r="Q78" s="133">
        <f t="shared" si="7"/>
        <v>8</v>
      </c>
      <c r="R78" s="10" t="str">
        <f>IFERROR(VLOOKUP(D78,$D$9:D77,1,0),"")</f>
        <v/>
      </c>
    </row>
    <row r="79" spans="1:18" ht="27.6" x14ac:dyDescent="0.3">
      <c r="A79" s="180"/>
      <c r="B79" s="18">
        <v>2</v>
      </c>
      <c r="C79" s="18">
        <v>3</v>
      </c>
      <c r="D79" s="19" t="s">
        <v>82</v>
      </c>
      <c r="E79" s="23" t="str">
        <f>VLOOKUP($D79,'[2]Khung_CTĐT_CNTT_K30 (2024)'!$B$10:$L$96,'Ke hoach giảng dạy CNTT'!E$6,0)</f>
        <v xml:space="preserve">Phân tích và thiết kế hệ thống theo Hướng đối tượng </v>
      </c>
      <c r="F79" s="24">
        <f>VLOOKUP($D79,'[2]Khung_CTĐT_CNTT_K30 (2024)'!$B$10:$L$96,'Ke hoach giảng dạy CNTT'!F$6,0)</f>
        <v>3</v>
      </c>
      <c r="G79" s="24">
        <f>VLOOKUP($D79,'[2]Khung_CTĐT_CNTT_K30 (2024)'!$B$10:$L$96,'Ke hoach giảng dạy CNTT'!G$6,0)</f>
        <v>30</v>
      </c>
      <c r="H79" s="24">
        <f>VLOOKUP($D79,'[2]Khung_CTĐT_CNTT_K30 (2024)'!$B$10:$L$96,'Ke hoach giảng dạy CNTT'!H$6,0)</f>
        <v>30</v>
      </c>
      <c r="I79" s="24">
        <f>VLOOKUP($D79,'[2]Khung_CTĐT_CNTT_K30 (2024)'!$B$10:$L$96,'Ke hoach giảng dạy CNTT'!I$6,0)</f>
        <v>0</v>
      </c>
      <c r="J79" s="24">
        <f>VLOOKUP($D79,'[2]Khung_CTĐT_CNTT_K30 (2024)'!$B$10:$L$96,'Ke hoach giảng dạy CNTT'!J$6,0)</f>
        <v>0</v>
      </c>
      <c r="K79" s="24" t="str">
        <f>VLOOKUP($D79,'[2]Khung_CTĐT_CNTT_K30 (2024)'!$B$10:$L$96,'Ke hoach giảng dạy CNTT'!K$6,0)</f>
        <v>BB</v>
      </c>
      <c r="L79" s="25" t="str">
        <f>VLOOKUP($D79,'[2]Khung_CTĐT_CNTT_K30 (2024)'!$B$10:$L$96,'Ke hoach giảng dạy CNTT'!L$6,0)</f>
        <v>Không</v>
      </c>
      <c r="M79" s="26" t="str">
        <f>VLOOKUP($D79,'[2]Khung_CTĐT_CNTT_K30 (2024)'!$B$10:$L$96,'Ke hoach giảng dạy CNTT'!M$6,0)</f>
        <v>[71ITSE41103]Kỹ thuật lấy yêu cầu</v>
      </c>
      <c r="N79" s="89"/>
      <c r="O79" s="81"/>
      <c r="Q79" s="133">
        <f t="shared" si="7"/>
        <v>8</v>
      </c>
      <c r="R79" s="10" t="str">
        <f>IFERROR(VLOOKUP(D79,$D$9:D78,1,0),"")</f>
        <v/>
      </c>
    </row>
    <row r="80" spans="1:18" x14ac:dyDescent="0.3">
      <c r="A80" s="180"/>
      <c r="B80" s="18">
        <v>2</v>
      </c>
      <c r="C80" s="18">
        <v>3</v>
      </c>
      <c r="D80" s="19" t="s">
        <v>83</v>
      </c>
      <c r="E80" s="23" t="str">
        <f>VLOOKUP($D80,'[2]Khung_CTĐT_CNTT_K30 (2024)'!$B$10:$L$96,'Ke hoach giảng dạy CNTT'!E$6,0)</f>
        <v xml:space="preserve">Quản lý dự án phần mềm </v>
      </c>
      <c r="F80" s="24">
        <f>VLOOKUP($D80,'[2]Khung_CTĐT_CNTT_K30 (2024)'!$B$10:$L$96,'Ke hoach giảng dạy CNTT'!F$6,0)</f>
        <v>3</v>
      </c>
      <c r="G80" s="24">
        <f>VLOOKUP($D80,'[2]Khung_CTĐT_CNTT_K30 (2024)'!$B$10:$L$96,'Ke hoach giảng dạy CNTT'!G$6,0)</f>
        <v>30</v>
      </c>
      <c r="H80" s="24">
        <f>VLOOKUP($D80,'[2]Khung_CTĐT_CNTT_K30 (2024)'!$B$10:$L$96,'Ke hoach giảng dạy CNTT'!H$6,0)</f>
        <v>30</v>
      </c>
      <c r="I80" s="24">
        <f>VLOOKUP($D80,'[2]Khung_CTĐT_CNTT_K30 (2024)'!$B$10:$L$96,'Ke hoach giảng dạy CNTT'!I$6,0)</f>
        <v>0</v>
      </c>
      <c r="J80" s="24">
        <f>VLOOKUP($D80,'[2]Khung_CTĐT_CNTT_K30 (2024)'!$B$10:$L$96,'Ke hoach giảng dạy CNTT'!J$6,0)</f>
        <v>0</v>
      </c>
      <c r="K80" s="24" t="str">
        <f>VLOOKUP($D80,'[2]Khung_CTĐT_CNTT_K30 (2024)'!$B$10:$L$96,'Ke hoach giảng dạy CNTT'!K$6,0)</f>
        <v>BB</v>
      </c>
      <c r="L80" s="25" t="str">
        <f>VLOOKUP($D80,'[2]Khung_CTĐT_CNTT_K30 (2024)'!$B$10:$L$96,'Ke hoach giảng dạy CNTT'!L$6,0)</f>
        <v>Không</v>
      </c>
      <c r="M80" s="26" t="str">
        <f>VLOOKUP($D80,'[2]Khung_CTĐT_CNTT_K30 (2024)'!$B$10:$L$96,'Ke hoach giảng dạy CNTT'!M$6,0)</f>
        <v>[71ITSE41103]Kỹ thuật lấy yêu cầu</v>
      </c>
      <c r="N80" s="89"/>
      <c r="O80" s="81"/>
      <c r="Q80" s="133">
        <f t="shared" si="7"/>
        <v>8</v>
      </c>
      <c r="R80" s="10" t="str">
        <f>IFERROR(VLOOKUP(D80,$D$9:D79,1,0),"")</f>
        <v/>
      </c>
    </row>
    <row r="81" spans="1:18" x14ac:dyDescent="0.3">
      <c r="A81" s="180"/>
      <c r="B81" s="38"/>
      <c r="C81" s="42" t="s">
        <v>59</v>
      </c>
      <c r="D81" s="42"/>
      <c r="E81" s="39"/>
      <c r="F81" s="43"/>
      <c r="G81" s="38"/>
      <c r="H81" s="38"/>
      <c r="I81" s="38"/>
      <c r="J81" s="38"/>
      <c r="K81" s="38"/>
      <c r="L81" s="40"/>
      <c r="M81" s="41"/>
      <c r="N81" s="125"/>
      <c r="O81" s="126"/>
      <c r="Q81" s="133">
        <f t="shared" si="7"/>
        <v>8</v>
      </c>
      <c r="R81" s="10" t="str">
        <f>IFERROR(VLOOKUP(D81,$D$9:D80,1,0),"")</f>
        <v/>
      </c>
    </row>
    <row r="82" spans="1:18" x14ac:dyDescent="0.3">
      <c r="A82" s="180"/>
      <c r="B82" s="18">
        <v>2</v>
      </c>
      <c r="C82" s="18">
        <v>3</v>
      </c>
      <c r="D82" s="19" t="s">
        <v>84</v>
      </c>
      <c r="E82" s="23" t="str">
        <f>VLOOKUP($D82,'[2]Khung_CTĐT_CNTT_K30 (2024)'!$B$10:$L$96,'Ke hoach giảng dạy CNTT'!E$6,0)</f>
        <v xml:space="preserve">Số hóa và quản trị thông tin số </v>
      </c>
      <c r="F82" s="24">
        <f>VLOOKUP($D82,'[2]Khung_CTĐT_CNTT_K30 (2024)'!$B$10:$L$96,'Ke hoach giảng dạy CNTT'!F$6,0)</f>
        <v>3</v>
      </c>
      <c r="G82" s="24">
        <f>VLOOKUP($D82,'[2]Khung_CTĐT_CNTT_K30 (2024)'!$B$10:$L$96,'Ke hoach giảng dạy CNTT'!G$6,0)</f>
        <v>30</v>
      </c>
      <c r="H82" s="24">
        <f>VLOOKUP($D82,'[2]Khung_CTĐT_CNTT_K30 (2024)'!$B$10:$L$96,'Ke hoach giảng dạy CNTT'!H$6,0)</f>
        <v>30</v>
      </c>
      <c r="I82" s="24">
        <f>VLOOKUP($D82,'[2]Khung_CTĐT_CNTT_K30 (2024)'!$B$10:$L$96,'Ke hoach giảng dạy CNTT'!I$6,0)</f>
        <v>0</v>
      </c>
      <c r="J82" s="24">
        <f>VLOOKUP($D82,'[2]Khung_CTĐT_CNTT_K30 (2024)'!$B$10:$L$96,'Ke hoach giảng dạy CNTT'!J$6,0)</f>
        <v>0</v>
      </c>
      <c r="K82" s="24" t="str">
        <f>VLOOKUP($D82,'[2]Khung_CTĐT_CNTT_K30 (2024)'!$B$10:$L$96,'Ke hoach giảng dạy CNTT'!K$6,0)</f>
        <v>BB</v>
      </c>
      <c r="L82" s="25" t="str">
        <f>VLOOKUP($D82,'[2]Khung_CTĐT_CNTT_K30 (2024)'!$B$10:$L$96,'Ke hoach giảng dạy CNTT'!L$6,0)</f>
        <v>Không</v>
      </c>
      <c r="M82" s="26" t="str">
        <f>VLOOKUP($D82,'[2]Khung_CTĐT_CNTT_K30 (2024)'!$B$10:$L$96,'Ke hoach giảng dạy CNTT'!M$6,0)</f>
        <v>Không</v>
      </c>
      <c r="N82" s="89"/>
      <c r="O82" s="81"/>
      <c r="Q82" s="133">
        <f t="shared" si="7"/>
        <v>8</v>
      </c>
      <c r="R82" s="10" t="str">
        <f>IFERROR(VLOOKUP(D82,$D$9:D81,1,0),"")</f>
        <v/>
      </c>
    </row>
    <row r="83" spans="1:18" ht="27" customHeight="1" x14ac:dyDescent="0.3">
      <c r="A83" s="180"/>
      <c r="B83" s="18">
        <v>2</v>
      </c>
      <c r="C83" s="18">
        <v>3</v>
      </c>
      <c r="D83" s="19" t="s">
        <v>85</v>
      </c>
      <c r="E83" s="23" t="str">
        <f>VLOOKUP($D83,'[2]Khung_CTĐT_CNTT_K30 (2024)'!$B$10:$L$96,'Ke hoach giảng dạy CNTT'!E$6,0)</f>
        <v xml:space="preserve">Lập trình tính toán song song </v>
      </c>
      <c r="F83" s="18">
        <f>VLOOKUP($D83,'[2]Khung_CTĐT_CNTT_K30 (2024)'!$B$10:$L$96,'Ke hoach giảng dạy CNTT'!F$6,0)</f>
        <v>3</v>
      </c>
      <c r="G83" s="18">
        <f>VLOOKUP($D83,'[2]Khung_CTĐT_CNTT_K30 (2024)'!$B$10:$L$96,'Ke hoach giảng dạy CNTT'!G$6,0)</f>
        <v>30</v>
      </c>
      <c r="H83" s="18">
        <f>VLOOKUP($D83,'[2]Khung_CTĐT_CNTT_K30 (2024)'!$B$10:$L$96,'Ke hoach giảng dạy CNTT'!H$6,0)</f>
        <v>30</v>
      </c>
      <c r="I83" s="18">
        <f>VLOOKUP($D83,'[2]Khung_CTĐT_CNTT_K30 (2024)'!$B$10:$L$96,'Ke hoach giảng dạy CNTT'!I$6,0)</f>
        <v>0</v>
      </c>
      <c r="J83" s="18">
        <f>VLOOKUP($D83,'[2]Khung_CTĐT_CNTT_K30 (2024)'!$B$10:$L$96,'Ke hoach giảng dạy CNTT'!J$6,0)</f>
        <v>0</v>
      </c>
      <c r="K83" s="18" t="str">
        <f>VLOOKUP($D83,'[2]Khung_CTĐT_CNTT_K30 (2024)'!$B$10:$L$96,'Ke hoach giảng dạy CNTT'!K$6,0)</f>
        <v>BB</v>
      </c>
      <c r="L83" s="21" t="str">
        <f>VLOOKUP($D83,'[2]Khung_CTĐT_CNTT_K30 (2024)'!$B$10:$L$96,'Ke hoach giảng dạy CNTT'!L$6,0)</f>
        <v>Không</v>
      </c>
      <c r="M83" s="22" t="str">
        <f>VLOOKUP($D83,'[2]Khung_CTĐT_CNTT_K30 (2024)'!$B$10:$L$96,'Ke hoach giảng dạy CNTT'!M$6,0)</f>
        <v xml:space="preserve">[71ITSE30303]Cấu trúc dữ liệu và giải thuật </v>
      </c>
      <c r="N83" s="89"/>
      <c r="O83" s="81"/>
      <c r="Q83" s="133">
        <f t="shared" si="7"/>
        <v>8</v>
      </c>
      <c r="R83" s="10" t="str">
        <f>IFERROR(VLOOKUP(D83,$D$9:D82,1,0),"")</f>
        <v/>
      </c>
    </row>
    <row r="84" spans="1:18" ht="27" customHeight="1" x14ac:dyDescent="0.3">
      <c r="A84" s="180"/>
      <c r="B84" s="18">
        <v>2</v>
      </c>
      <c r="C84" s="18">
        <v>3</v>
      </c>
      <c r="D84" s="19" t="s">
        <v>86</v>
      </c>
      <c r="E84" s="23" t="str">
        <f>VLOOKUP($D84,'[2]Khung_CTĐT_CNTT_K30 (2024)'!$B$10:$L$96,'Ke hoach giảng dạy CNTT'!E$6,0)</f>
        <v>Mã hóa dữ liệu và chuỗi khối (Block chain)</v>
      </c>
      <c r="F84" s="18">
        <f>VLOOKUP($D84,'[2]Khung_CTĐT_CNTT_K30 (2024)'!$B$10:$L$96,'Ke hoach giảng dạy CNTT'!F$6,0)</f>
        <v>3</v>
      </c>
      <c r="G84" s="18">
        <f>VLOOKUP($D84,'[2]Khung_CTĐT_CNTT_K30 (2024)'!$B$10:$L$96,'Ke hoach giảng dạy CNTT'!G$6,0)</f>
        <v>30</v>
      </c>
      <c r="H84" s="18">
        <f>VLOOKUP($D84,'[2]Khung_CTĐT_CNTT_K30 (2024)'!$B$10:$L$96,'Ke hoach giảng dạy CNTT'!H$6,0)</f>
        <v>30</v>
      </c>
      <c r="I84" s="18">
        <f>VLOOKUP($D84,'[2]Khung_CTĐT_CNTT_K30 (2024)'!$B$10:$L$96,'Ke hoach giảng dạy CNTT'!I$6,0)</f>
        <v>0</v>
      </c>
      <c r="J84" s="18">
        <f>VLOOKUP($D84,'[2]Khung_CTĐT_CNTT_K30 (2024)'!$B$10:$L$96,'Ke hoach giảng dạy CNTT'!J$6,0)</f>
        <v>0</v>
      </c>
      <c r="K84" s="18" t="str">
        <f>VLOOKUP($D84,'[2]Khung_CTĐT_CNTT_K30 (2024)'!$B$10:$L$96,'Ke hoach giảng dạy CNTT'!K$6,0)</f>
        <v>BB</v>
      </c>
      <c r="L84" s="21" t="str">
        <f>VLOOKUP($D84,'[2]Khung_CTĐT_CNTT_K30 (2024)'!$B$10:$L$96,'Ke hoach giảng dạy CNTT'!L$6,0)</f>
        <v>Không</v>
      </c>
      <c r="M84" s="22" t="str">
        <f>VLOOKUP($D84,'[2]Khung_CTĐT_CNTT_K30 (2024)'!$B$10:$L$96,'Ke hoach giảng dạy CNTT'!M$6,0)</f>
        <v>[71ITIS30103]Cơ sở dữ liệu</v>
      </c>
      <c r="N84" s="89"/>
      <c r="O84" s="81"/>
      <c r="Q84" s="133">
        <f t="shared" si="7"/>
        <v>8</v>
      </c>
      <c r="R84" s="10" t="str">
        <f>IFERROR(VLOOKUP(D84,$D$9:D83,1,0),"")</f>
        <v/>
      </c>
    </row>
    <row r="85" spans="1:18" x14ac:dyDescent="0.3">
      <c r="A85" s="180"/>
      <c r="B85" s="38"/>
      <c r="C85" s="42" t="s">
        <v>61</v>
      </c>
      <c r="D85" s="42"/>
      <c r="E85" s="39"/>
      <c r="F85" s="43"/>
      <c r="G85" s="38"/>
      <c r="H85" s="38"/>
      <c r="I85" s="38"/>
      <c r="J85" s="38"/>
      <c r="K85" s="38"/>
      <c r="L85" s="40"/>
      <c r="M85" s="41"/>
      <c r="N85" s="125"/>
      <c r="O85" s="126"/>
      <c r="Q85" s="133">
        <f t="shared" si="7"/>
        <v>8</v>
      </c>
      <c r="R85" s="10" t="str">
        <f>IFERROR(VLOOKUP(D85,$D$9:D84,1,0),"")</f>
        <v/>
      </c>
    </row>
    <row r="86" spans="1:18" x14ac:dyDescent="0.3">
      <c r="A86" s="180"/>
      <c r="B86" s="18">
        <v>2</v>
      </c>
      <c r="C86" s="18">
        <v>3</v>
      </c>
      <c r="D86" s="19" t="s">
        <v>87</v>
      </c>
      <c r="E86" s="20" t="str">
        <f>VLOOKUP($D86,'[2]Khung_CTĐT_CNTT_K30 (2024)'!$B$10:$L$96,'Ke hoach giảng dạy CNTT'!E$6,0)</f>
        <v xml:space="preserve">Thị giác máy tính </v>
      </c>
      <c r="F86" s="18">
        <f>VLOOKUP($D86,'[2]Khung_CTĐT_CNTT_K30 (2024)'!$B$10:$L$96,'Ke hoach giảng dạy CNTT'!F$6,0)</f>
        <v>3</v>
      </c>
      <c r="G86" s="18">
        <f>VLOOKUP($D86,'[2]Khung_CTĐT_CNTT_K30 (2024)'!$B$10:$L$96,'Ke hoach giảng dạy CNTT'!G$6,0)</f>
        <v>30</v>
      </c>
      <c r="H86" s="18">
        <f>VLOOKUP($D86,'[2]Khung_CTĐT_CNTT_K30 (2024)'!$B$10:$L$96,'Ke hoach giảng dạy CNTT'!H$6,0)</f>
        <v>30</v>
      </c>
      <c r="I86" s="18">
        <f>VLOOKUP($D86,'[2]Khung_CTĐT_CNTT_K30 (2024)'!$B$10:$L$96,'Ke hoach giảng dạy CNTT'!I$6,0)</f>
        <v>0</v>
      </c>
      <c r="J86" s="18">
        <f>VLOOKUP($D86,'[2]Khung_CTĐT_CNTT_K30 (2024)'!$B$10:$L$96,'Ke hoach giảng dạy CNTT'!J$6,0)</f>
        <v>0</v>
      </c>
      <c r="K86" s="18" t="str">
        <f>VLOOKUP($D86,'[2]Khung_CTĐT_CNTT_K30 (2024)'!$B$10:$L$96,'Ke hoach giảng dạy CNTT'!K$6,0)</f>
        <v>BB</v>
      </c>
      <c r="L86" s="21" t="str">
        <f>VLOOKUP($D86,'[2]Khung_CTĐT_CNTT_K30 (2024)'!$B$10:$L$96,'Ke hoach giảng dạy CNTT'!L$6,0)</f>
        <v>Không</v>
      </c>
      <c r="M86" s="22" t="str">
        <f>VLOOKUP($D86,'[2]Khung_CTĐT_CNTT_K30 (2024)'!$B$10:$L$96,'Ke hoach giảng dạy CNTT'!M$6,0)</f>
        <v xml:space="preserve">[71ITAI41203]Học máy và ứng dụng </v>
      </c>
      <c r="N86" s="89"/>
      <c r="O86" s="81"/>
      <c r="Q86" s="133">
        <f t="shared" si="7"/>
        <v>8</v>
      </c>
      <c r="R86" s="10" t="str">
        <f>IFERROR(VLOOKUP(D86,$D$9:D85,1,0),"")</f>
        <v/>
      </c>
    </row>
    <row r="87" spans="1:18" x14ac:dyDescent="0.3">
      <c r="A87" s="180"/>
      <c r="B87" s="18">
        <v>2</v>
      </c>
      <c r="C87" s="18">
        <v>3</v>
      </c>
      <c r="D87" s="25" t="s">
        <v>88</v>
      </c>
      <c r="E87" s="23" t="str">
        <f>VLOOKUP($D87,'[2]Khung_CTĐT_CNTT_K30 (2024)'!$B$10:$L$96,'Ke hoach giảng dạy CNTT'!E$6,0)</f>
        <v>Giới thiệu về học sâu</v>
      </c>
      <c r="F87" s="24">
        <f>VLOOKUP($D87,'[2]Khung_CTĐT_CNTT_K30 (2024)'!$B$10:$L$96,'Ke hoach giảng dạy CNTT'!F$6,0)</f>
        <v>3</v>
      </c>
      <c r="G87" s="24">
        <f>VLOOKUP($D87,'[2]Khung_CTĐT_CNTT_K30 (2024)'!$B$10:$L$96,'Ke hoach giảng dạy CNTT'!G$6,0)</f>
        <v>30</v>
      </c>
      <c r="H87" s="18">
        <f>VLOOKUP($D87,'[2]Khung_CTĐT_CNTT_K30 (2024)'!$B$10:$L$96,'Ke hoach giảng dạy CNTT'!H$6,0)</f>
        <v>30</v>
      </c>
      <c r="I87" s="18">
        <f>VLOOKUP($D87,'[2]Khung_CTĐT_CNTT_K30 (2024)'!$B$10:$L$96,'Ke hoach giảng dạy CNTT'!I$6,0)</f>
        <v>0</v>
      </c>
      <c r="J87" s="18">
        <f>VLOOKUP($D87,'[2]Khung_CTĐT_CNTT_K30 (2024)'!$B$10:$L$96,'Ke hoach giảng dạy CNTT'!J$6,0)</f>
        <v>0</v>
      </c>
      <c r="K87" s="18" t="str">
        <f>VLOOKUP($D87,'[2]Khung_CTĐT_CNTT_K30 (2024)'!$B$10:$L$96,'Ke hoach giảng dạy CNTT'!K$6,0)</f>
        <v>BB</v>
      </c>
      <c r="L87" s="21" t="str">
        <f>VLOOKUP($D87,'[2]Khung_CTĐT_CNTT_K30 (2024)'!$B$10:$L$96,'Ke hoach giảng dạy CNTT'!L$6,0)</f>
        <v>Không</v>
      </c>
      <c r="M87" s="22" t="str">
        <f>VLOOKUP($D87,'[2]Khung_CTĐT_CNTT_K30 (2024)'!$B$10:$L$96,'Ke hoach giảng dạy CNTT'!M$6,0)</f>
        <v>[71ITAI40503]Trí tuệ nhân tạo ứng dụng</v>
      </c>
      <c r="N87" s="89"/>
      <c r="O87" s="81"/>
      <c r="Q87" s="133">
        <f t="shared" si="7"/>
        <v>8</v>
      </c>
      <c r="R87" s="10" t="str">
        <f>IFERROR(VLOOKUP(D87,$D$9:D86,1,0),"")</f>
        <v/>
      </c>
    </row>
    <row r="88" spans="1:18" ht="27.6" x14ac:dyDescent="0.3">
      <c r="A88" s="180"/>
      <c r="B88" s="18">
        <v>2</v>
      </c>
      <c r="C88" s="18">
        <v>3</v>
      </c>
      <c r="D88" s="25" t="s">
        <v>89</v>
      </c>
      <c r="E88" s="23" t="str">
        <f>VLOOKUP($D88,'[2]Khung_CTĐT_CNTT_K30 (2024)'!$B$10:$L$96,'Ke hoach giảng dạy CNTT'!E$6,0)</f>
        <v>Các công cụ và nền tảng cho trí tuệ nhân tạo</v>
      </c>
      <c r="F88" s="24">
        <f>VLOOKUP($D88,'[2]Khung_CTĐT_CNTT_K30 (2024)'!$B$10:$L$96,'Ke hoach giảng dạy CNTT'!F$6,0)</f>
        <v>3</v>
      </c>
      <c r="G88" s="24">
        <f>VLOOKUP($D88,'[2]Khung_CTĐT_CNTT_K30 (2024)'!$B$10:$L$96,'Ke hoach giảng dạy CNTT'!G$6,0)</f>
        <v>30</v>
      </c>
      <c r="H88" s="18">
        <f>VLOOKUP($D88,'[2]Khung_CTĐT_CNTT_K30 (2024)'!$B$10:$L$96,'Ke hoach giảng dạy CNTT'!H$6,0)</f>
        <v>30</v>
      </c>
      <c r="I88" s="18">
        <f>VLOOKUP($D88,'[2]Khung_CTĐT_CNTT_K30 (2024)'!$B$10:$L$96,'Ke hoach giảng dạy CNTT'!I$6,0)</f>
        <v>0</v>
      </c>
      <c r="J88" s="18">
        <f>VLOOKUP($D88,'[2]Khung_CTĐT_CNTT_K30 (2024)'!$B$10:$L$96,'Ke hoach giảng dạy CNTT'!J$6,0)</f>
        <v>0</v>
      </c>
      <c r="K88" s="18" t="str">
        <f>VLOOKUP($D88,'[2]Khung_CTĐT_CNTT_K30 (2024)'!$B$10:$L$96,'Ke hoach giảng dạy CNTT'!K$6,0)</f>
        <v>BB</v>
      </c>
      <c r="L88" s="21" t="str">
        <f>VLOOKUP($D88,'[2]Khung_CTĐT_CNTT_K30 (2024)'!$B$10:$L$96,'Ke hoach giảng dạy CNTT'!L$6,0)</f>
        <v>Không</v>
      </c>
      <c r="M88" s="22" t="str">
        <f>VLOOKUP($D88,'[2]Khung_CTĐT_CNTT_K30 (2024)'!$B$10:$L$96,'Ke hoach giảng dạy CNTT'!M$6,0)</f>
        <v xml:space="preserve">Không </v>
      </c>
      <c r="N88" s="89"/>
      <c r="O88" s="81"/>
      <c r="Q88" s="133">
        <f t="shared" si="7"/>
        <v>8</v>
      </c>
      <c r="R88" s="10" t="str">
        <f>IFERROR(VLOOKUP(D88,$D$9:D87,1,0),"")</f>
        <v/>
      </c>
    </row>
    <row r="89" spans="1:18" x14ac:dyDescent="0.3">
      <c r="A89" s="180"/>
      <c r="B89" s="38"/>
      <c r="C89" s="42" t="s">
        <v>90</v>
      </c>
      <c r="D89" s="42"/>
      <c r="E89" s="39"/>
      <c r="F89" s="43"/>
      <c r="G89" s="38"/>
      <c r="H89" s="38"/>
      <c r="I89" s="38"/>
      <c r="J89" s="38"/>
      <c r="K89" s="38"/>
      <c r="L89" s="40"/>
      <c r="M89" s="41"/>
      <c r="N89" s="125"/>
      <c r="O89" s="126"/>
      <c r="Q89" s="133">
        <f t="shared" si="7"/>
        <v>8</v>
      </c>
      <c r="R89" s="10" t="str">
        <f>IFERROR(VLOOKUP(D89,$D$9:D88,1,0),"")</f>
        <v/>
      </c>
    </row>
    <row r="90" spans="1:18" x14ac:dyDescent="0.3">
      <c r="A90" s="180"/>
      <c r="B90" s="18">
        <v>2</v>
      </c>
      <c r="C90" s="18">
        <v>3</v>
      </c>
      <c r="D90" s="19" t="s">
        <v>91</v>
      </c>
      <c r="E90" s="20" t="str">
        <f>VLOOKUP($D90,'[2]Khung_CTĐT_CNTT_K30 (2024)'!$B$10:$L$96,'Ke hoach giảng dạy CNTT'!E$6,0)</f>
        <v xml:space="preserve">Lập trình di động nâng cao </v>
      </c>
      <c r="F90" s="18">
        <f>VLOOKUP($D90,'[2]Khung_CTĐT_CNTT_K30 (2024)'!$B$10:$L$96,'Ke hoach giảng dạy CNTT'!F$6,0)</f>
        <v>3</v>
      </c>
      <c r="G90" s="18">
        <f>VLOOKUP($D90,'[2]Khung_CTĐT_CNTT_K30 (2024)'!$B$10:$L$96,'Ke hoach giảng dạy CNTT'!G$6,0)</f>
        <v>30</v>
      </c>
      <c r="H90" s="18">
        <f>VLOOKUP($D90,'[2]Khung_CTĐT_CNTT_K30 (2024)'!$B$10:$L$96,'Ke hoach giảng dạy CNTT'!H$6,0)</f>
        <v>30</v>
      </c>
      <c r="I90" s="18">
        <f>VLOOKUP($D90,'[2]Khung_CTĐT_CNTT_K30 (2024)'!$B$10:$L$96,'Ke hoach giảng dạy CNTT'!I$6,0)</f>
        <v>0</v>
      </c>
      <c r="J90" s="18">
        <f>VLOOKUP($D90,'[2]Khung_CTĐT_CNTT_K30 (2024)'!$B$10:$L$96,'Ke hoach giảng dạy CNTT'!J$6,0)</f>
        <v>0</v>
      </c>
      <c r="K90" s="18" t="str">
        <f>VLOOKUP($D90,'[2]Khung_CTĐT_CNTT_K30 (2024)'!$B$10:$L$96,'Ke hoach giảng dạy CNTT'!K$6,0)</f>
        <v>TC309</v>
      </c>
      <c r="L90" s="21" t="str">
        <f>VLOOKUP($D90,'[2]Khung_CTĐT_CNTT_K30 (2024)'!$B$10:$L$96,'Ke hoach giảng dạy CNTT'!L$6,0)</f>
        <v>Không</v>
      </c>
      <c r="M90" s="22" t="str">
        <f>VLOOKUP($D90,'[2]Khung_CTĐT_CNTT_K30 (2024)'!$B$10:$L$96,'Ke hoach giảng dạy CNTT'!M$6,0)</f>
        <v>[71ITSE30603]Lập trình ứng dụng di động</v>
      </c>
      <c r="N90" s="89"/>
      <c r="O90" s="81"/>
      <c r="Q90" s="133">
        <f t="shared" si="7"/>
        <v>8</v>
      </c>
      <c r="R90" s="10" t="str">
        <f>IFERROR(VLOOKUP(D90,$D$9:D89,1,0),"")</f>
        <v/>
      </c>
    </row>
    <row r="91" spans="1:18" x14ac:dyDescent="0.3">
      <c r="A91" s="180"/>
      <c r="B91" s="18">
        <v>2</v>
      </c>
      <c r="C91" s="18">
        <v>3</v>
      </c>
      <c r="D91" s="83" t="s">
        <v>92</v>
      </c>
      <c r="E91" s="20" t="str">
        <f>VLOOKUP($D91,'[2]Khung_CTĐT_CNTT_K30 (2024)'!$B$10:$L$96,'Ke hoach giảng dạy CNTT'!E$6,0)</f>
        <v>Lập trình Python nâng cao</v>
      </c>
      <c r="F91" s="18">
        <f>VLOOKUP($D91,'[2]Khung_CTĐT_CNTT_K30 (2024)'!$B$10:$L$96,'Ke hoach giảng dạy CNTT'!F$6,0)</f>
        <v>3</v>
      </c>
      <c r="G91" s="18">
        <f>VLOOKUP($D91,'[2]Khung_CTĐT_CNTT_K30 (2024)'!$B$10:$L$96,'Ke hoach giảng dạy CNTT'!G$6,0)</f>
        <v>30</v>
      </c>
      <c r="H91" s="18">
        <f>VLOOKUP($D91,'[2]Khung_CTĐT_CNTT_K30 (2024)'!$B$10:$L$96,'Ke hoach giảng dạy CNTT'!H$6,0)</f>
        <v>30</v>
      </c>
      <c r="I91" s="18">
        <f>VLOOKUP($D91,'[2]Khung_CTĐT_CNTT_K30 (2024)'!$B$10:$L$96,'Ke hoach giảng dạy CNTT'!I$6,0)</f>
        <v>0</v>
      </c>
      <c r="J91" s="18">
        <f>VLOOKUP($D91,'[2]Khung_CTĐT_CNTT_K30 (2024)'!$B$10:$L$96,'Ke hoach giảng dạy CNTT'!J$6,0)</f>
        <v>0</v>
      </c>
      <c r="K91" s="18" t="str">
        <f>VLOOKUP($D91,'[2]Khung_CTĐT_CNTT_K30 (2024)'!$B$10:$L$96,'Ke hoach giảng dạy CNTT'!K$6,0)</f>
        <v>TC309</v>
      </c>
      <c r="L91" s="21" t="str">
        <f>VLOOKUP($D91,'[2]Khung_CTĐT_CNTT_K30 (2024)'!$B$10:$L$96,'Ke hoach giảng dạy CNTT'!L$6,0)</f>
        <v>Không</v>
      </c>
      <c r="M91" s="22" t="str">
        <f>VLOOKUP($D91,'[2]Khung_CTĐT_CNTT_K30 (2024)'!$B$10:$L$96,'Ke hoach giảng dạy CNTT'!M$6,0)</f>
        <v>Không</v>
      </c>
      <c r="N91" s="89"/>
      <c r="O91" s="81"/>
      <c r="Q91" s="133">
        <f t="shared" si="7"/>
        <v>8</v>
      </c>
      <c r="R91" s="10" t="str">
        <f>IFERROR(VLOOKUP(D91,$D$9:D90,1,0),"")</f>
        <v/>
      </c>
    </row>
    <row r="92" spans="1:18" x14ac:dyDescent="0.3">
      <c r="A92" s="180"/>
      <c r="B92" s="18">
        <v>2</v>
      </c>
      <c r="C92" s="18">
        <v>3</v>
      </c>
      <c r="D92" s="19" t="s">
        <v>93</v>
      </c>
      <c r="E92" s="20" t="str">
        <f>VLOOKUP($D92,'[2]Khung_CTĐT_CNTT_K30 (2024)'!$B$10:$L$96,'Ke hoach giảng dạy CNTT'!E$6,0)</f>
        <v>Lập trình Java nâng cao</v>
      </c>
      <c r="F92" s="18">
        <f>VLOOKUP($D92,'[2]Khung_CTĐT_CNTT_K30 (2024)'!$B$10:$L$96,'Ke hoach giảng dạy CNTT'!F$6,0)</f>
        <v>3</v>
      </c>
      <c r="G92" s="18">
        <f>VLOOKUP($D92,'[2]Khung_CTĐT_CNTT_K30 (2024)'!$B$10:$L$96,'Ke hoach giảng dạy CNTT'!G$6,0)</f>
        <v>30</v>
      </c>
      <c r="H92" s="18">
        <f>VLOOKUP($D92,'[2]Khung_CTĐT_CNTT_K30 (2024)'!$B$10:$L$96,'Ke hoach giảng dạy CNTT'!H$6,0)</f>
        <v>30</v>
      </c>
      <c r="I92" s="18">
        <f>VLOOKUP($D92,'[2]Khung_CTĐT_CNTT_K30 (2024)'!$B$10:$L$96,'Ke hoach giảng dạy CNTT'!I$6,0)</f>
        <v>0</v>
      </c>
      <c r="J92" s="18">
        <f>VLOOKUP($D92,'[2]Khung_CTĐT_CNTT_K30 (2024)'!$B$10:$L$96,'Ke hoach giảng dạy CNTT'!J$6,0)</f>
        <v>0</v>
      </c>
      <c r="K92" s="18" t="str">
        <f>VLOOKUP($D92,'[2]Khung_CTĐT_CNTT_K30 (2024)'!$B$10:$L$96,'Ke hoach giảng dạy CNTT'!K$6,0)</f>
        <v>TC309</v>
      </c>
      <c r="L92" s="21" t="str">
        <f>VLOOKUP($D92,'[2]Khung_CTĐT_CNTT_K30 (2024)'!$B$10:$L$96,'Ke hoach giảng dạy CNTT'!L$6,0)</f>
        <v>Không</v>
      </c>
      <c r="M92" s="22" t="str">
        <f>VLOOKUP($D92,'[2]Khung_CTĐT_CNTT_K30 (2024)'!$B$10:$L$96,'Ke hoach giảng dạy CNTT'!M$6,0)</f>
        <v>[71ITSE30403]Lập trình ứng dụng Java</v>
      </c>
      <c r="N92" s="89"/>
      <c r="O92" s="81"/>
      <c r="Q92" s="133">
        <f t="shared" si="7"/>
        <v>8</v>
      </c>
      <c r="R92" s="10" t="str">
        <f>IFERROR(VLOOKUP(D92,$D$9:D91,1,0),"")</f>
        <v/>
      </c>
    </row>
    <row r="93" spans="1:18" ht="17.399999999999999" thickBot="1" x14ac:dyDescent="0.35">
      <c r="A93" s="180"/>
      <c r="B93" s="32">
        <v>2</v>
      </c>
      <c r="C93" s="32">
        <v>3</v>
      </c>
      <c r="D93" s="33" t="s">
        <v>94</v>
      </c>
      <c r="E93" s="34" t="str">
        <f>VLOOKUP($D93,'[2]Khung_CTĐT_CNTT_K30 (2024)'!$B$10:$L$96,'Ke hoach giảng dạy CNTT'!E$6,0)</f>
        <v xml:space="preserve">Kiểm thử tự động </v>
      </c>
      <c r="F93" s="35">
        <f>VLOOKUP($D93,'[2]Khung_CTĐT_CNTT_K30 (2024)'!$B$10:$L$96,'Ke hoach giảng dạy CNTT'!F$6,0)</f>
        <v>3</v>
      </c>
      <c r="G93" s="35">
        <f>VLOOKUP($D93,'[2]Khung_CTĐT_CNTT_K30 (2024)'!$B$10:$L$96,'Ke hoach giảng dạy CNTT'!G$6,0)</f>
        <v>30</v>
      </c>
      <c r="H93" s="35">
        <f>VLOOKUP($D93,'[2]Khung_CTĐT_CNTT_K30 (2024)'!$B$10:$L$96,'Ke hoach giảng dạy CNTT'!H$6,0)</f>
        <v>30</v>
      </c>
      <c r="I93" s="35">
        <f>VLOOKUP($D93,'[2]Khung_CTĐT_CNTT_K30 (2024)'!$B$10:$L$96,'Ke hoach giảng dạy CNTT'!I$6,0)</f>
        <v>0</v>
      </c>
      <c r="J93" s="35">
        <f>VLOOKUP($D93,'[2]Khung_CTĐT_CNTT_K30 (2024)'!$B$10:$L$96,'Ke hoach giảng dạy CNTT'!J$6,0)</f>
        <v>0</v>
      </c>
      <c r="K93" s="35" t="str">
        <f>VLOOKUP($D93,'[2]Khung_CTĐT_CNTT_K30 (2024)'!$B$10:$L$96,'Ke hoach giảng dạy CNTT'!K$6,0)</f>
        <v>TC309</v>
      </c>
      <c r="L93" s="36" t="str">
        <f>VLOOKUP($D93,'[2]Khung_CTĐT_CNTT_K30 (2024)'!$B$10:$L$96,'Ke hoach giảng dạy CNTT'!L$6,0)</f>
        <v>Không</v>
      </c>
      <c r="M93" s="37" t="str">
        <f>VLOOKUP($D93,'[2]Khung_CTĐT_CNTT_K30 (2024)'!$B$10:$L$96,'Ke hoach giảng dạy CNTT'!M$6,0)</f>
        <v>[71ITSE41203]Kiểm thử phần mềm</v>
      </c>
      <c r="N93" s="90"/>
      <c r="O93" s="96"/>
      <c r="Q93" s="133">
        <f t="shared" si="7"/>
        <v>8</v>
      </c>
      <c r="R93" s="10" t="str">
        <f>IFERROR(VLOOKUP(D93,$D$9:D92,1,0),"")</f>
        <v/>
      </c>
    </row>
    <row r="94" spans="1:18" ht="34.5" customHeight="1" x14ac:dyDescent="0.3">
      <c r="A94" s="179" t="s">
        <v>95</v>
      </c>
      <c r="B94" s="45">
        <v>3</v>
      </c>
      <c r="C94" s="45">
        <v>3</v>
      </c>
      <c r="D94" s="85" t="s">
        <v>96</v>
      </c>
      <c r="E94" s="86" t="str">
        <f>VLOOKUP($D94,'[2]Khung_CTĐT_CNTT_K30 (2024)'!$B$10:$L$96,'Ke hoach giảng dạy CNTT'!E$6,0)</f>
        <v>Lịch sử Đảng Cộng sản Việt Nam</v>
      </c>
      <c r="F94" s="45">
        <f>VLOOKUP($D94,'[2]Khung_CTĐT_CNTT_K30 (2024)'!$B$10:$L$96,'Ke hoach giảng dạy CNTT'!F$6,0)</f>
        <v>2</v>
      </c>
      <c r="G94" s="45">
        <f>VLOOKUP($D94,'[2]Khung_CTĐT_CNTT_K30 (2024)'!$B$10:$L$96,'Ke hoach giảng dạy CNTT'!G$6,0)</f>
        <v>30</v>
      </c>
      <c r="H94" s="45">
        <f>VLOOKUP($D94,'[2]Khung_CTĐT_CNTT_K30 (2024)'!$B$10:$L$96,'Ke hoach giảng dạy CNTT'!H$6,0)</f>
        <v>0</v>
      </c>
      <c r="I94" s="45">
        <f>VLOOKUP($D94,'[2]Khung_CTĐT_CNTT_K30 (2024)'!$B$10:$L$96,'Ke hoach giảng dạy CNTT'!I$6,0)</f>
        <v>0</v>
      </c>
      <c r="J94" s="45">
        <f>VLOOKUP($D94,'[2]Khung_CTĐT_CNTT_K30 (2024)'!$B$10:$L$96,'Ke hoach giảng dạy CNTT'!J$6,0)</f>
        <v>0</v>
      </c>
      <c r="K94" s="45" t="str">
        <f>VLOOKUP($D94,'[2]Khung_CTĐT_CNTT_K30 (2024)'!$B$10:$L$96,'Ke hoach giảng dạy CNTT'!K$6,0)</f>
        <v>BB</v>
      </c>
      <c r="L94" s="57" t="str">
        <f>VLOOKUP($D94,'[2]Khung_CTĐT_CNTT_K30 (2024)'!$B$10:$L$96,'Ke hoach giảng dạy CNTT'!L$6,0)</f>
        <v>Không</v>
      </c>
      <c r="M94" s="58" t="str">
        <f>VLOOKUP($D94,'[2]Khung_CTĐT_CNTT_K30 (2024)'!$B$10:$L$96,'Ke hoach giảng dạy CNTT'!M$6,0)</f>
        <v>[71POLE10022]Kinh tế chính trị Mác-Lênin, [71POLS10032]Chủ nghĩa xã hội khoa học</v>
      </c>
      <c r="N94" s="91">
        <f>SUM(F94:F97)</f>
        <v>10</v>
      </c>
      <c r="O94" s="80"/>
      <c r="P94" s="87">
        <f>P76+N94</f>
        <v>120</v>
      </c>
      <c r="Q94" s="133">
        <v>9</v>
      </c>
      <c r="R94" s="10" t="str">
        <f>IFERROR(VLOOKUP(D94,$D$9:D93,1,0),"")</f>
        <v/>
      </c>
    </row>
    <row r="95" spans="1:18" ht="34.5" customHeight="1" x14ac:dyDescent="0.3">
      <c r="A95" s="182"/>
      <c r="B95" s="18">
        <v>3</v>
      </c>
      <c r="C95" s="18">
        <v>3</v>
      </c>
      <c r="D95" s="128" t="s">
        <v>97</v>
      </c>
      <c r="E95" s="100" t="str">
        <f>VLOOKUP($D95,'[2]Khung_CTĐT_CNTT_K30 (2024)'!$B$10:$L$96,'Ke hoach giảng dạy CNTT'!E$6,0)</f>
        <v>Tư tưởng Hồ Chí Minh</v>
      </c>
      <c r="F95" s="18">
        <f>VLOOKUP($D95,'[2]Khung_CTĐT_CNTT_K30 (2024)'!$B$10:$L$96,'Ke hoach giảng dạy CNTT'!F$6,0)</f>
        <v>2</v>
      </c>
      <c r="G95" s="18">
        <f>VLOOKUP($D95,'[2]Khung_CTĐT_CNTT_K30 (2024)'!$B$10:$L$96,'Ke hoach giảng dạy CNTT'!G$6,0)</f>
        <v>30</v>
      </c>
      <c r="H95" s="18">
        <f>VLOOKUP($D95,'[2]Khung_CTĐT_CNTT_K30 (2024)'!$B$10:$L$96,'Ke hoach giảng dạy CNTT'!H$6,0)</f>
        <v>0</v>
      </c>
      <c r="I95" s="18">
        <f>VLOOKUP($D95,'[2]Khung_CTĐT_CNTT_K30 (2024)'!$B$10:$L$96,'Ke hoach giảng dạy CNTT'!I$6,0)</f>
        <v>0</v>
      </c>
      <c r="J95" s="18">
        <f>VLOOKUP($D95,'[2]Khung_CTĐT_CNTT_K30 (2024)'!$B$10:$L$96,'Ke hoach giảng dạy CNTT'!J$6,0)</f>
        <v>0</v>
      </c>
      <c r="K95" s="18" t="str">
        <f>VLOOKUP($D95,'[2]Khung_CTĐT_CNTT_K30 (2024)'!$B$10:$L$96,'Ke hoach giảng dạy CNTT'!K$6,0)</f>
        <v>BB</v>
      </c>
      <c r="L95" s="21" t="str">
        <f>VLOOKUP($D95,'[2]Khung_CTĐT_CNTT_K30 (2024)'!$B$10:$L$96,'Ke hoach giảng dạy CNTT'!L$6,0)</f>
        <v>Không</v>
      </c>
      <c r="M95" s="22" t="str">
        <f>VLOOKUP($D95,'[2]Khung_CTĐT_CNTT_K30 (2024)'!$B$10:$L$96,'Ke hoach giảng dạy CNTT'!M$6,0)</f>
        <v>[71POLE10022]Kinh tế chính trị Mác-Lênin, [71POLS10032]Chủ nghĩa xã hội khoa học</v>
      </c>
      <c r="N95" s="89"/>
      <c r="O95" s="81"/>
      <c r="Q95" s="133">
        <v>9</v>
      </c>
      <c r="R95" s="10" t="str">
        <f>IFERROR(VLOOKUP(D95,$D$9:D93,1,0),"")</f>
        <v/>
      </c>
    </row>
    <row r="96" spans="1:18" ht="34.5" customHeight="1" x14ac:dyDescent="0.3">
      <c r="A96" s="182"/>
      <c r="B96" s="18">
        <v>3</v>
      </c>
      <c r="C96" s="18">
        <v>3</v>
      </c>
      <c r="D96" s="128" t="s">
        <v>351</v>
      </c>
      <c r="E96" s="100" t="str">
        <f>VLOOKUP($D96,'[2]Khung_CTĐT_CNTT_K30 (2024)'!$B$10:$L$96,'Ke hoach giảng dạy CNTT'!E$6,0)</f>
        <v>Môi trường và con người</v>
      </c>
      <c r="F96" s="18">
        <f>VLOOKUP($D96,'[2]Khung_CTĐT_CNTT_K30 (2024)'!$B$10:$L$96,'Ke hoach giảng dạy CNTT'!F$6,0)</f>
        <v>2</v>
      </c>
      <c r="G96" s="18">
        <f>VLOOKUP($D96,'[2]Khung_CTĐT_CNTT_K30 (2024)'!$B$10:$L$96,'Ke hoach giảng dạy CNTT'!G$6,0)</f>
        <v>30</v>
      </c>
      <c r="H96" s="18">
        <f>VLOOKUP($D96,'[2]Khung_CTĐT_CNTT_K30 (2024)'!$B$10:$L$96,'Ke hoach giảng dạy CNTT'!H$6,0)</f>
        <v>0</v>
      </c>
      <c r="I96" s="18">
        <f>VLOOKUP($D96,'[2]Khung_CTĐT_CNTT_K30 (2024)'!$B$10:$L$96,'Ke hoach giảng dạy CNTT'!I$6,0)</f>
        <v>0</v>
      </c>
      <c r="J96" s="18">
        <f>VLOOKUP($D96,'[2]Khung_CTĐT_CNTT_K30 (2024)'!$B$10:$L$96,'Ke hoach giảng dạy CNTT'!J$6,0)</f>
        <v>0</v>
      </c>
      <c r="K96" s="18" t="str">
        <f>VLOOKUP($D96,'[2]Khung_CTĐT_CNTT_K30 (2024)'!$B$10:$L$96,'Ke hoach giảng dạy CNTT'!K$6,0)</f>
        <v>BB</v>
      </c>
      <c r="L96" s="21" t="str">
        <f>VLOOKUP($D96,'[2]Khung_CTĐT_CNTT_K30 (2024)'!$B$10:$L$96,'Ke hoach giảng dạy CNTT'!L$6,0)</f>
        <v>Không</v>
      </c>
      <c r="M96" s="22" t="str">
        <f>VLOOKUP($D96,'[2]Khung_CTĐT_CNTT_K30 (2024)'!$B$10:$L$96,'Ke hoach giảng dạy CNTT'!M$6,0)</f>
        <v xml:space="preserve">Không </v>
      </c>
      <c r="N96" s="89"/>
      <c r="O96" s="81"/>
      <c r="Q96" s="133">
        <f>Q94</f>
        <v>9</v>
      </c>
      <c r="R96" s="10" t="str">
        <f>IFERROR(VLOOKUP(D96,$D$9:D94,1,0),"")</f>
        <v/>
      </c>
    </row>
    <row r="97" spans="1:20" ht="34.5" customHeight="1" thickBot="1" x14ac:dyDescent="0.35">
      <c r="A97" s="188"/>
      <c r="B97" s="27">
        <v>3</v>
      </c>
      <c r="C97" s="27">
        <v>3</v>
      </c>
      <c r="D97" s="129" t="s">
        <v>98</v>
      </c>
      <c r="E97" s="130" t="str">
        <f>VLOOKUP($D97,'[2]Khung_CTĐT_CNTT_K30 (2024)'!$B$10:$L$96,'Ke hoach giảng dạy CNTT'!E$6,0)</f>
        <v xml:space="preserve">Đồ án thực tập </v>
      </c>
      <c r="F97" s="27">
        <f>VLOOKUP($D97,'[2]Khung_CTĐT_CNTT_K30 (2024)'!$B$10:$L$96,'Ke hoach giảng dạy CNTT'!F$6,0)</f>
        <v>4</v>
      </c>
      <c r="G97" s="27">
        <f>VLOOKUP($D97,'[2]Khung_CTĐT_CNTT_K30 (2024)'!$B$10:$L$96,'Ke hoach giảng dạy CNTT'!G$6,0)</f>
        <v>0</v>
      </c>
      <c r="H97" s="27">
        <f>VLOOKUP($D97,'[2]Khung_CTĐT_CNTT_K30 (2024)'!$B$10:$L$96,'Ke hoach giảng dạy CNTT'!H$6,0)</f>
        <v>0</v>
      </c>
      <c r="I97" s="27">
        <f>VLOOKUP($D97,'[2]Khung_CTĐT_CNTT_K30 (2024)'!$B$10:$L$96,'Ke hoach giảng dạy CNTT'!I$6,0)</f>
        <v>0</v>
      </c>
      <c r="J97" s="27">
        <f>VLOOKUP($D97,'[2]Khung_CTĐT_CNTT_K30 (2024)'!$B$10:$L$96,'Ke hoach giảng dạy CNTT'!J$6,0)</f>
        <v>180</v>
      </c>
      <c r="K97" s="27" t="str">
        <f>VLOOKUP($D97,'[2]Khung_CTĐT_CNTT_K30 (2024)'!$B$10:$L$96,'Ke hoach giảng dạy CNTT'!K$6,0)</f>
        <v>BB</v>
      </c>
      <c r="L97" s="131" t="str">
        <f>VLOOKUP($D97,'[2]Khung_CTĐT_CNTT_K30 (2024)'!$B$10:$L$96,'Ke hoach giảng dạy CNTT'!L$6,0)</f>
        <v>Không</v>
      </c>
      <c r="M97" s="29" t="str">
        <f>VLOOKUP($D97,'[2]Khung_CTĐT_CNTT_K30 (2024)'!$B$10:$L$96,'Ke hoach giảng dạy CNTT'!M$6,0)</f>
        <v>[71ITSE30103] Kỹ thuật lập trình</v>
      </c>
      <c r="N97" s="92"/>
      <c r="O97" s="82"/>
      <c r="Q97" s="133">
        <f t="shared" ref="Q97" si="8">Q96</f>
        <v>9</v>
      </c>
      <c r="R97" s="10" t="str">
        <f>IFERROR(VLOOKUP(D97,$D$9:D96,1,0),"")</f>
        <v/>
      </c>
    </row>
    <row r="98" spans="1:20" ht="15.75" customHeight="1" x14ac:dyDescent="0.3">
      <c r="A98" s="179" t="s">
        <v>99</v>
      </c>
      <c r="B98" s="45">
        <v>1</v>
      </c>
      <c r="C98" s="45"/>
      <c r="D98" s="46"/>
      <c r="E98" s="86"/>
      <c r="F98" s="47"/>
      <c r="G98" s="47"/>
      <c r="H98" s="47"/>
      <c r="I98" s="47"/>
      <c r="J98" s="47"/>
      <c r="K98" s="47"/>
      <c r="L98" s="48"/>
      <c r="M98" s="49"/>
      <c r="N98" s="91">
        <f>SUM(F98:F100)</f>
        <v>6</v>
      </c>
      <c r="O98" s="97"/>
      <c r="P98" s="87">
        <f>P94+N98</f>
        <v>126</v>
      </c>
      <c r="Q98" s="133">
        <v>10</v>
      </c>
      <c r="R98" s="10" t="str">
        <f>IFERROR(VLOOKUP(D98,$D$9:D97,1,0),"")</f>
        <v/>
      </c>
    </row>
    <row r="99" spans="1:20" ht="17.25" customHeight="1" x14ac:dyDescent="0.3">
      <c r="A99" s="182"/>
      <c r="B99" s="18">
        <v>1</v>
      </c>
      <c r="C99" s="18"/>
      <c r="D99" s="19"/>
      <c r="E99" s="100"/>
      <c r="F99" s="24"/>
      <c r="G99" s="24"/>
      <c r="H99" s="24"/>
      <c r="I99" s="24"/>
      <c r="J99" s="24"/>
      <c r="K99" s="24"/>
      <c r="L99" s="25"/>
      <c r="M99" s="26"/>
      <c r="N99" s="89"/>
      <c r="O99" s="101"/>
      <c r="Q99" s="133">
        <f t="shared" ref="Q99:Q102" si="9">Q98</f>
        <v>10</v>
      </c>
      <c r="R99" s="10" t="str">
        <f>IFERROR(VLOOKUP(D99,$D$9:D98,1,0),"")</f>
        <v/>
      </c>
    </row>
    <row r="100" spans="1:20" ht="25.5" customHeight="1" x14ac:dyDescent="0.3">
      <c r="A100" s="182"/>
      <c r="B100" s="18">
        <v>1</v>
      </c>
      <c r="C100" s="18">
        <v>4</v>
      </c>
      <c r="D100" s="19" t="s">
        <v>100</v>
      </c>
      <c r="E100" s="100" t="str">
        <f>VLOOKUP($D100,'[2]Khung_CTĐT_CNTT_K30 (2024)'!$B$10:$L$96,'Ke hoach giảng dạy CNTT'!E$6,0)</f>
        <v>Đồ án Tốt nghiệp</v>
      </c>
      <c r="F100" s="24">
        <f>VLOOKUP($D100,'[2]Khung_CTĐT_CNTT_K30 (2024)'!$B$10:$L$96,'Ke hoach giảng dạy CNTT'!F$6,0)</f>
        <v>6</v>
      </c>
      <c r="G100" s="24">
        <f>VLOOKUP($D100,'[2]Khung_CTĐT_CNTT_K30 (2024)'!$B$10:$L$96,'Ke hoach giảng dạy CNTT'!G$6,0)</f>
        <v>0</v>
      </c>
      <c r="H100" s="24">
        <f>VLOOKUP($D100,'[2]Khung_CTĐT_CNTT_K30 (2024)'!$B$10:$L$96,'Ke hoach giảng dạy CNTT'!H$6,0)</f>
        <v>0</v>
      </c>
      <c r="I100" s="24">
        <f>VLOOKUP($D100,'[2]Khung_CTĐT_CNTT_K30 (2024)'!$B$10:$L$96,'Ke hoach giảng dạy CNTT'!I$6,0)</f>
        <v>270</v>
      </c>
      <c r="J100" s="24">
        <f>VLOOKUP($D100,'[2]Khung_CTĐT_CNTT_K30 (2024)'!$B$10:$L$96,'Ke hoach giảng dạy CNTT'!J$6,0)</f>
        <v>0</v>
      </c>
      <c r="K100" s="24" t="str">
        <f>VLOOKUP($D100,'[2]Khung_CTĐT_CNTT_K30 (2024)'!$B$10:$L$96,'Ke hoach giảng dạy CNTT'!K$6,0)</f>
        <v>TC406</v>
      </c>
      <c r="L100" s="25" t="str">
        <f>VLOOKUP($D100,'[2]Khung_CTĐT_CNTT_K30 (2024)'!$B$10:$L$96,'Ke hoach giảng dạy CNTT'!L$6,0)</f>
        <v>Không</v>
      </c>
      <c r="M100" s="26" t="str">
        <f>VLOOKUP($D100,'[2]Khung_CTĐT_CNTT_K30 (2024)'!$B$10:$L$96,'Ke hoach giảng dạy CNTT'!M$6,0)</f>
        <v>Dựa theo quy định cụ thể của Khoa về Triển khai Học và làm ĐATN</v>
      </c>
      <c r="N100" s="89"/>
      <c r="O100" s="101"/>
      <c r="Q100" s="133">
        <f t="shared" si="9"/>
        <v>10</v>
      </c>
      <c r="R100" s="10" t="str">
        <f>IFERROR(VLOOKUP(D100,$D$9:D99,1,0),"")</f>
        <v/>
      </c>
    </row>
    <row r="101" spans="1:20" ht="25.5" customHeight="1" x14ac:dyDescent="0.3">
      <c r="A101" s="182"/>
      <c r="B101" s="18">
        <v>1</v>
      </c>
      <c r="C101" s="18">
        <v>4</v>
      </c>
      <c r="D101" s="19" t="s">
        <v>353</v>
      </c>
      <c r="E101" s="100" t="str">
        <f>VLOOKUP($D101,'[2]Khung_CTĐT_CNTT_K30 (2024)'!$B$10:$L$96,'Ke hoach giảng dạy CNTT'!E$6,0)</f>
        <v>Chuyên đề Tốt nghiệp 1</v>
      </c>
      <c r="F101" s="24">
        <f>VLOOKUP($D101,'[2]Khung_CTĐT_CNTT_K30 (2024)'!$B$10:$L$96,'Ke hoach giảng dạy CNTT'!F$6,0)</f>
        <v>3</v>
      </c>
      <c r="G101" s="24">
        <f>VLOOKUP($D101,'[2]Khung_CTĐT_CNTT_K30 (2024)'!$B$10:$L$96,'Ke hoach giảng dạy CNTT'!G$6,0)</f>
        <v>0</v>
      </c>
      <c r="H101" s="24">
        <f>VLOOKUP($D101,'[2]Khung_CTĐT_CNTT_K30 (2024)'!$B$10:$L$96,'Ke hoach giảng dạy CNTT'!H$6,0)</f>
        <v>0</v>
      </c>
      <c r="I101" s="24">
        <f>VLOOKUP($D101,'[2]Khung_CTĐT_CNTT_K30 (2024)'!$B$10:$L$96,'Ke hoach giảng dạy CNTT'!I$6,0)</f>
        <v>180</v>
      </c>
      <c r="J101" s="24">
        <f>VLOOKUP($D101,'[2]Khung_CTĐT_CNTT_K30 (2024)'!$B$10:$L$96,'Ke hoach giảng dạy CNTT'!J$6,0)</f>
        <v>0</v>
      </c>
      <c r="K101" s="24" t="str">
        <f>VLOOKUP($D101,'[2]Khung_CTĐT_CNTT_K30 (2024)'!$B$10:$L$96,'Ke hoach giảng dạy CNTT'!K$6,0)</f>
        <v>TC406</v>
      </c>
      <c r="L101" s="25" t="str">
        <f>VLOOKUP($D101,'[2]Khung_CTĐT_CNTT_K30 (2024)'!$B$10:$L$96,'Ke hoach giảng dạy CNTT'!L$6,0)</f>
        <v>Không</v>
      </c>
      <c r="M101" s="26" t="str">
        <f>VLOOKUP($D101,'[2]Khung_CTĐT_CNTT_K30 (2024)'!$B$10:$L$96,'Ke hoach giảng dạy CNTT'!M$6,0)</f>
        <v>Dựa theo quy định cụ thể của Khoa về Triển khai Học và làm ĐATN</v>
      </c>
      <c r="N101" s="89"/>
      <c r="O101" s="101"/>
      <c r="Q101" s="133">
        <f t="shared" si="9"/>
        <v>10</v>
      </c>
      <c r="R101" s="10" t="str">
        <f>IFERROR(VLOOKUP(D101,$D$9:D100,1,0),"")</f>
        <v/>
      </c>
    </row>
    <row r="102" spans="1:20" ht="25.5" customHeight="1" x14ac:dyDescent="0.3">
      <c r="A102" s="189"/>
      <c r="B102" s="18">
        <v>1</v>
      </c>
      <c r="C102" s="18">
        <v>4</v>
      </c>
      <c r="D102" s="19" t="s">
        <v>354</v>
      </c>
      <c r="E102" s="100" t="str">
        <f>VLOOKUP($D102,'[2]Khung_CTĐT_CNTT_K30 (2024)'!$B$10:$L$96,'Ke hoach giảng dạy CNTT'!E$6,0)</f>
        <v>Chuyên đề Tốt nghiệp 2</v>
      </c>
      <c r="F102" s="24">
        <f>VLOOKUP($D102,'[2]Khung_CTĐT_CNTT_K30 (2024)'!$B$10:$L$96,'Ke hoach giảng dạy CNTT'!F$6,0)</f>
        <v>3</v>
      </c>
      <c r="G102" s="24">
        <f>VLOOKUP($D102,'[2]Khung_CTĐT_CNTT_K30 (2024)'!$B$10:$L$96,'Ke hoach giảng dạy CNTT'!G$6,0)</f>
        <v>0</v>
      </c>
      <c r="H102" s="24">
        <f>VLOOKUP($D102,'[2]Khung_CTĐT_CNTT_K30 (2024)'!$B$10:$L$96,'Ke hoach giảng dạy CNTT'!H$6,0)</f>
        <v>0</v>
      </c>
      <c r="I102" s="24">
        <f>VLOOKUP($D102,'[2]Khung_CTĐT_CNTT_K30 (2024)'!$B$10:$L$96,'Ke hoach giảng dạy CNTT'!I$6,0)</f>
        <v>180</v>
      </c>
      <c r="J102" s="24">
        <f>VLOOKUP($D102,'[2]Khung_CTĐT_CNTT_K30 (2024)'!$B$10:$L$96,'Ke hoach giảng dạy CNTT'!J$6,0)</f>
        <v>0</v>
      </c>
      <c r="K102" s="24" t="str">
        <f>VLOOKUP($D102,'[2]Khung_CTĐT_CNTT_K30 (2024)'!$B$10:$L$96,'Ke hoach giảng dạy CNTT'!K$6,0)</f>
        <v>TC406</v>
      </c>
      <c r="L102" s="25" t="str">
        <f>VLOOKUP($D102,'[2]Khung_CTĐT_CNTT_K30 (2024)'!$B$10:$L$96,'Ke hoach giảng dạy CNTT'!L$6,0)</f>
        <v>Không</v>
      </c>
      <c r="M102" s="26" t="str">
        <f>VLOOKUP($D102,'[2]Khung_CTĐT_CNTT_K30 (2024)'!$B$10:$L$96,'Ke hoach giảng dạy CNTT'!M$6,0)</f>
        <v>Dựa theo quy định cụ thể của Khoa về Triển khai Học và làm ĐATN</v>
      </c>
      <c r="N102" s="89"/>
      <c r="O102" s="101"/>
      <c r="Q102" s="133">
        <f t="shared" si="9"/>
        <v>10</v>
      </c>
      <c r="R102" s="10" t="str">
        <f>IFERROR(VLOOKUP(D102,$D$9:D101,1,0),"")</f>
        <v/>
      </c>
    </row>
    <row r="103" spans="1:20" s="64" customFormat="1" ht="17.399999999999999" thickBot="1" x14ac:dyDescent="0.35">
      <c r="A103" s="102"/>
      <c r="B103" s="65"/>
      <c r="C103" s="65"/>
      <c r="D103" s="51"/>
      <c r="E103" s="67"/>
      <c r="F103" s="66"/>
      <c r="G103" s="66"/>
      <c r="H103" s="66"/>
      <c r="I103" s="66"/>
      <c r="J103" s="66"/>
      <c r="K103" s="66"/>
      <c r="L103" s="68"/>
      <c r="M103" s="69"/>
      <c r="N103" s="98"/>
      <c r="O103" s="99"/>
      <c r="P103" s="138"/>
      <c r="Q103" s="134"/>
      <c r="T103" s="10"/>
    </row>
    <row r="105" spans="1:20" x14ac:dyDescent="0.3">
      <c r="L105" s="186" t="s">
        <v>101</v>
      </c>
      <c r="M105" s="186"/>
      <c r="N105" s="186"/>
      <c r="O105" s="186"/>
    </row>
    <row r="106" spans="1:20" x14ac:dyDescent="0.3">
      <c r="L106" s="187" t="s">
        <v>102</v>
      </c>
      <c r="M106" s="187"/>
      <c r="N106" s="187"/>
      <c r="O106" s="187"/>
    </row>
    <row r="107" spans="1:20" x14ac:dyDescent="0.3">
      <c r="M107" s="71"/>
      <c r="N107" s="94"/>
      <c r="O107" s="9"/>
    </row>
    <row r="108" spans="1:20" x14ac:dyDescent="0.3">
      <c r="M108" s="71"/>
      <c r="N108" s="94"/>
      <c r="O108" s="9"/>
    </row>
    <row r="109" spans="1:20" x14ac:dyDescent="0.3">
      <c r="M109" s="71"/>
      <c r="N109" s="94"/>
      <c r="O109" s="9"/>
    </row>
    <row r="110" spans="1:20" x14ac:dyDescent="0.3">
      <c r="M110" s="71"/>
      <c r="N110" s="94"/>
      <c r="O110" s="9"/>
      <c r="T110" s="64"/>
    </row>
    <row r="111" spans="1:20" x14ac:dyDescent="0.3">
      <c r="M111" s="178"/>
      <c r="N111" s="178"/>
      <c r="O111" s="178"/>
    </row>
  </sheetData>
  <sortState xmlns:xlrd2="http://schemas.microsoft.com/office/spreadsheetml/2017/richdata2" ref="T80:T173">
    <sortCondition ref="T80:T173"/>
  </sortState>
  <mergeCells count="25">
    <mergeCell ref="M111:O111"/>
    <mergeCell ref="A9:A17"/>
    <mergeCell ref="A18:A23"/>
    <mergeCell ref="A35:A44"/>
    <mergeCell ref="A59:A75"/>
    <mergeCell ref="A76:A93"/>
    <mergeCell ref="A30:A34"/>
    <mergeCell ref="A24:A29"/>
    <mergeCell ref="A45:A58"/>
    <mergeCell ref="L105:O105"/>
    <mergeCell ref="L106:O106"/>
    <mergeCell ref="A94:A97"/>
    <mergeCell ref="A98:A102"/>
    <mergeCell ref="A7:A8"/>
    <mergeCell ref="B7:B8"/>
    <mergeCell ref="D7:D8"/>
    <mergeCell ref="E7:E8"/>
    <mergeCell ref="O7:O8"/>
    <mergeCell ref="N7:N8"/>
    <mergeCell ref="L7:L8"/>
    <mergeCell ref="M7:M8"/>
    <mergeCell ref="F7:F8"/>
    <mergeCell ref="G7:J7"/>
    <mergeCell ref="K7:K8"/>
    <mergeCell ref="C7:C8"/>
  </mergeCells>
  <conditionalFormatting sqref="A9:M103">
    <cfRule type="expression" dxfId="1" priority="1">
      <formula>MOD($Q9,2)&lt;&gt;0</formula>
    </cfRule>
  </conditionalFormatting>
  <conditionalFormatting sqref="D61:M61 D63:M64 D66:M67 D69:M70 D78:M78 D82:M82 D86:M86">
    <cfRule type="expression" dxfId="0" priority="21">
      <formula>#REF!=1</formula>
    </cfRule>
  </conditionalFormatting>
  <pageMargins left="0.15748031496062992" right="0.15748031496062992" top="0.15748031496062992" bottom="0.15748031496062992" header="0.31496062992125984" footer="0.15748031496062992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topLeftCell="A21" workbookViewId="0">
      <selection activeCell="B34" sqref="B34"/>
    </sheetView>
  </sheetViews>
  <sheetFormatPr defaultColWidth="8.88671875" defaultRowHeight="14.4" x14ac:dyDescent="0.3"/>
  <cols>
    <col min="2" max="2" width="10.44140625" customWidth="1"/>
    <col min="3" max="3" width="49.109375" bestFit="1" customWidth="1"/>
    <col min="5" max="5" width="36.33203125" customWidth="1"/>
    <col min="6" max="6" width="17.88671875" customWidth="1"/>
  </cols>
  <sheetData>
    <row r="1" spans="1:6" s="1" customFormat="1" ht="32.25" customHeight="1" x14ac:dyDescent="0.3">
      <c r="A1" s="190" t="s">
        <v>119</v>
      </c>
      <c r="B1" s="190"/>
      <c r="C1" s="190"/>
      <c r="D1" s="190"/>
      <c r="E1" s="190"/>
      <c r="F1" s="190"/>
    </row>
    <row r="2" spans="1:6" s="1" customFormat="1" ht="53.25" customHeight="1" x14ac:dyDescent="0.3">
      <c r="A2" s="191" t="s">
        <v>120</v>
      </c>
      <c r="B2" s="191"/>
      <c r="C2" s="191"/>
      <c r="D2" s="191"/>
      <c r="E2" s="191"/>
      <c r="F2" s="191"/>
    </row>
    <row r="3" spans="1:6" s="1" customFormat="1" ht="13.8" x14ac:dyDescent="0.3">
      <c r="B3" s="2"/>
    </row>
    <row r="4" spans="1:6" s="4" customFormat="1" ht="23.1" customHeight="1" x14ac:dyDescent="0.3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14</v>
      </c>
    </row>
    <row r="5" spans="1:6" s="1" customFormat="1" ht="13.8" x14ac:dyDescent="0.3">
      <c r="A5" s="6">
        <v>1</v>
      </c>
      <c r="B5" s="5" t="s">
        <v>126</v>
      </c>
      <c r="C5" s="6" t="s">
        <v>127</v>
      </c>
      <c r="D5" s="6" t="s">
        <v>128</v>
      </c>
      <c r="E5" s="6" t="s">
        <v>129</v>
      </c>
      <c r="F5" s="6"/>
    </row>
    <row r="6" spans="1:6" s="1" customFormat="1" ht="13.8" x14ac:dyDescent="0.3">
      <c r="A6" s="6">
        <v>2</v>
      </c>
      <c r="B6" s="5" t="s">
        <v>130</v>
      </c>
      <c r="C6" s="6" t="s">
        <v>131</v>
      </c>
      <c r="D6" s="6" t="s">
        <v>128</v>
      </c>
      <c r="E6" s="6" t="s">
        <v>129</v>
      </c>
      <c r="F6" s="6"/>
    </row>
    <row r="7" spans="1:6" x14ac:dyDescent="0.3">
      <c r="A7" s="6">
        <v>3</v>
      </c>
      <c r="B7" s="8" t="s">
        <v>132</v>
      </c>
      <c r="C7" s="7" t="s">
        <v>133</v>
      </c>
      <c r="D7" s="7" t="s">
        <v>128</v>
      </c>
      <c r="E7" s="7" t="s">
        <v>129</v>
      </c>
      <c r="F7" s="7"/>
    </row>
    <row r="8" spans="1:6" x14ac:dyDescent="0.3">
      <c r="A8" s="6">
        <v>4</v>
      </c>
      <c r="B8" s="8" t="s">
        <v>103</v>
      </c>
      <c r="C8" s="7" t="s">
        <v>134</v>
      </c>
      <c r="D8" s="7" t="s">
        <v>135</v>
      </c>
      <c r="E8" s="7" t="s">
        <v>136</v>
      </c>
      <c r="F8" s="7"/>
    </row>
    <row r="9" spans="1:6" x14ac:dyDescent="0.3">
      <c r="A9" s="6">
        <v>5</v>
      </c>
      <c r="B9" s="8" t="s">
        <v>137</v>
      </c>
      <c r="C9" s="7" t="s">
        <v>138</v>
      </c>
      <c r="D9" s="7" t="s">
        <v>135</v>
      </c>
      <c r="E9" s="7" t="s">
        <v>136</v>
      </c>
      <c r="F9" s="7"/>
    </row>
    <row r="10" spans="1:6" x14ac:dyDescent="0.3">
      <c r="A10" s="6">
        <v>6</v>
      </c>
      <c r="B10" s="8" t="s">
        <v>139</v>
      </c>
      <c r="C10" s="7" t="s">
        <v>140</v>
      </c>
      <c r="D10" s="7" t="s">
        <v>135</v>
      </c>
      <c r="E10" s="7" t="s">
        <v>136</v>
      </c>
      <c r="F10" s="7"/>
    </row>
    <row r="11" spans="1:6" x14ac:dyDescent="0.3">
      <c r="A11" s="6">
        <v>7</v>
      </c>
      <c r="B11" s="8" t="s">
        <v>141</v>
      </c>
      <c r="C11" s="7" t="s">
        <v>142</v>
      </c>
      <c r="D11" s="7" t="s">
        <v>135</v>
      </c>
      <c r="E11" s="7" t="s">
        <v>136</v>
      </c>
      <c r="F11" s="7"/>
    </row>
    <row r="12" spans="1:6" x14ac:dyDescent="0.3">
      <c r="A12" s="6">
        <v>8</v>
      </c>
      <c r="B12" s="8" t="s">
        <v>143</v>
      </c>
      <c r="C12" s="7" t="s">
        <v>144</v>
      </c>
      <c r="D12" s="7" t="s">
        <v>145</v>
      </c>
      <c r="E12" s="7" t="s">
        <v>146</v>
      </c>
      <c r="F12" s="7"/>
    </row>
    <row r="13" spans="1:6" x14ac:dyDescent="0.3">
      <c r="A13" s="6">
        <v>9</v>
      </c>
      <c r="B13" s="8" t="s">
        <v>147</v>
      </c>
      <c r="C13" s="7" t="s">
        <v>148</v>
      </c>
      <c r="D13" s="7" t="s">
        <v>145</v>
      </c>
      <c r="E13" s="7" t="s">
        <v>146</v>
      </c>
      <c r="F13" s="7"/>
    </row>
    <row r="14" spans="1:6" x14ac:dyDescent="0.3">
      <c r="A14" s="6">
        <v>10</v>
      </c>
      <c r="B14" s="8" t="s">
        <v>149</v>
      </c>
      <c r="C14" s="7" t="s">
        <v>150</v>
      </c>
      <c r="D14" s="7" t="s">
        <v>145</v>
      </c>
      <c r="E14" s="7" t="s">
        <v>146</v>
      </c>
      <c r="F14" s="7"/>
    </row>
    <row r="15" spans="1:6" x14ac:dyDescent="0.3">
      <c r="A15" s="6">
        <v>11</v>
      </c>
      <c r="B15" s="8" t="s">
        <v>151</v>
      </c>
      <c r="C15" s="7" t="s">
        <v>152</v>
      </c>
      <c r="D15" s="7" t="s">
        <v>145</v>
      </c>
      <c r="E15" s="7" t="s">
        <v>146</v>
      </c>
      <c r="F15" s="7"/>
    </row>
    <row r="16" spans="1:6" x14ac:dyDescent="0.3">
      <c r="A16" s="6">
        <v>12</v>
      </c>
      <c r="B16" s="8" t="s">
        <v>153</v>
      </c>
      <c r="C16" s="7" t="s">
        <v>154</v>
      </c>
      <c r="D16" s="7" t="s">
        <v>155</v>
      </c>
      <c r="E16" s="7" t="s">
        <v>156</v>
      </c>
      <c r="F16" s="7"/>
    </row>
    <row r="17" spans="1:6" x14ac:dyDescent="0.3">
      <c r="A17" s="6">
        <v>13</v>
      </c>
      <c r="B17" s="8" t="s">
        <v>157</v>
      </c>
      <c r="C17" s="7" t="s">
        <v>158</v>
      </c>
      <c r="D17" s="7" t="s">
        <v>155</v>
      </c>
      <c r="E17" s="7" t="s">
        <v>156</v>
      </c>
      <c r="F17" s="7"/>
    </row>
    <row r="18" spans="1:6" x14ac:dyDescent="0.3">
      <c r="A18" s="6">
        <v>14</v>
      </c>
      <c r="B18" s="8" t="s">
        <v>159</v>
      </c>
      <c r="C18" s="7" t="s">
        <v>160</v>
      </c>
      <c r="D18" s="7" t="s">
        <v>155</v>
      </c>
      <c r="E18" s="7" t="s">
        <v>156</v>
      </c>
      <c r="F18" s="7"/>
    </row>
    <row r="19" spans="1:6" x14ac:dyDescent="0.3">
      <c r="A19" s="6">
        <v>15</v>
      </c>
      <c r="B19" s="8" t="s">
        <v>161</v>
      </c>
      <c r="C19" s="7" t="s">
        <v>162</v>
      </c>
      <c r="D19" s="7" t="s">
        <v>155</v>
      </c>
      <c r="E19" s="7" t="s">
        <v>156</v>
      </c>
      <c r="F19" s="7"/>
    </row>
    <row r="20" spans="1:6" x14ac:dyDescent="0.3">
      <c r="A20" s="6">
        <v>16</v>
      </c>
      <c r="B20" s="8" t="s">
        <v>163</v>
      </c>
      <c r="C20" s="7" t="s">
        <v>164</v>
      </c>
      <c r="D20" s="7" t="s">
        <v>155</v>
      </c>
      <c r="E20" s="7" t="s">
        <v>156</v>
      </c>
      <c r="F20" s="7"/>
    </row>
    <row r="21" spans="1:6" x14ac:dyDescent="0.3">
      <c r="A21" s="6">
        <v>17</v>
      </c>
      <c r="B21" s="8" t="s">
        <v>165</v>
      </c>
      <c r="C21" s="7" t="s">
        <v>166</v>
      </c>
      <c r="D21" s="7" t="s">
        <v>155</v>
      </c>
      <c r="E21" s="7" t="s">
        <v>156</v>
      </c>
      <c r="F21" s="7"/>
    </row>
    <row r="22" spans="1:6" x14ac:dyDescent="0.3">
      <c r="A22" s="6">
        <v>18</v>
      </c>
      <c r="B22" s="8" t="s">
        <v>167</v>
      </c>
      <c r="C22" s="7" t="s">
        <v>168</v>
      </c>
      <c r="D22" s="7" t="s">
        <v>155</v>
      </c>
      <c r="E22" s="7" t="s">
        <v>156</v>
      </c>
      <c r="F22" s="7"/>
    </row>
    <row r="23" spans="1:6" x14ac:dyDescent="0.3">
      <c r="A23" s="6">
        <v>19</v>
      </c>
      <c r="B23" s="8" t="s">
        <v>169</v>
      </c>
      <c r="C23" s="7" t="s">
        <v>170</v>
      </c>
      <c r="D23" s="7" t="s">
        <v>171</v>
      </c>
      <c r="E23" s="7" t="s">
        <v>172</v>
      </c>
      <c r="F23" s="7"/>
    </row>
    <row r="24" spans="1:6" x14ac:dyDescent="0.3">
      <c r="A24" s="6">
        <v>20</v>
      </c>
      <c r="B24" s="8" t="s">
        <v>173</v>
      </c>
      <c r="C24" s="7" t="s">
        <v>174</v>
      </c>
      <c r="D24" s="7" t="s">
        <v>171</v>
      </c>
      <c r="E24" s="7" t="s">
        <v>172</v>
      </c>
      <c r="F24" s="7"/>
    </row>
    <row r="25" spans="1:6" x14ac:dyDescent="0.3">
      <c r="A25" s="6">
        <v>21</v>
      </c>
      <c r="B25" s="8" t="s">
        <v>175</v>
      </c>
      <c r="C25" s="7" t="s">
        <v>176</v>
      </c>
      <c r="D25" s="7" t="s">
        <v>171</v>
      </c>
      <c r="E25" s="7" t="s">
        <v>172</v>
      </c>
      <c r="F25" s="7"/>
    </row>
    <row r="26" spans="1:6" x14ac:dyDescent="0.3">
      <c r="A26" s="6">
        <v>22</v>
      </c>
      <c r="B26" s="8" t="s">
        <v>177</v>
      </c>
      <c r="C26" s="7" t="s">
        <v>178</v>
      </c>
      <c r="D26" s="7" t="s">
        <v>171</v>
      </c>
      <c r="E26" s="7" t="s">
        <v>172</v>
      </c>
      <c r="F26" s="7"/>
    </row>
    <row r="27" spans="1:6" x14ac:dyDescent="0.3">
      <c r="A27" s="6">
        <v>23</v>
      </c>
      <c r="B27" s="8" t="s">
        <v>179</v>
      </c>
      <c r="C27" s="7" t="s">
        <v>180</v>
      </c>
      <c r="D27" s="7" t="s">
        <v>171</v>
      </c>
      <c r="E27" s="7" t="s">
        <v>172</v>
      </c>
      <c r="F27" s="7"/>
    </row>
    <row r="28" spans="1:6" x14ac:dyDescent="0.3">
      <c r="A28" s="6">
        <v>24</v>
      </c>
      <c r="B28" s="8" t="s">
        <v>181</v>
      </c>
      <c r="C28" s="7" t="s">
        <v>182</v>
      </c>
      <c r="D28" s="7" t="s">
        <v>183</v>
      </c>
      <c r="E28" s="7" t="s">
        <v>184</v>
      </c>
      <c r="F28" s="7"/>
    </row>
    <row r="29" spans="1:6" x14ac:dyDescent="0.3">
      <c r="A29" s="6">
        <v>25</v>
      </c>
      <c r="B29" s="8" t="s">
        <v>185</v>
      </c>
      <c r="C29" s="7" t="s">
        <v>186</v>
      </c>
      <c r="D29" s="7" t="s">
        <v>183</v>
      </c>
      <c r="E29" s="7" t="s">
        <v>184</v>
      </c>
      <c r="F29" s="7"/>
    </row>
    <row r="30" spans="1:6" x14ac:dyDescent="0.3">
      <c r="A30" s="6">
        <v>26</v>
      </c>
      <c r="B30" s="8" t="s">
        <v>187</v>
      </c>
      <c r="C30" s="7" t="s">
        <v>188</v>
      </c>
      <c r="D30" s="7" t="s">
        <v>183</v>
      </c>
      <c r="E30" s="7" t="s">
        <v>184</v>
      </c>
      <c r="F30" s="7"/>
    </row>
    <row r="31" spans="1:6" x14ac:dyDescent="0.3">
      <c r="A31" s="6">
        <v>27</v>
      </c>
      <c r="B31" s="8" t="s">
        <v>104</v>
      </c>
      <c r="C31" s="7" t="s">
        <v>105</v>
      </c>
      <c r="D31" s="7" t="s">
        <v>189</v>
      </c>
      <c r="E31" s="7" t="s">
        <v>190</v>
      </c>
      <c r="F31" s="7"/>
    </row>
    <row r="32" spans="1:6" x14ac:dyDescent="0.3">
      <c r="A32" s="6">
        <v>28</v>
      </c>
      <c r="B32" s="8" t="s">
        <v>115</v>
      </c>
      <c r="C32" s="7" t="s">
        <v>116</v>
      </c>
      <c r="D32" s="7" t="s">
        <v>189</v>
      </c>
      <c r="E32" s="7" t="s">
        <v>190</v>
      </c>
      <c r="F32" s="7"/>
    </row>
    <row r="33" spans="1:6" x14ac:dyDescent="0.3">
      <c r="A33" s="6">
        <v>29</v>
      </c>
      <c r="B33" s="8" t="s">
        <v>117</v>
      </c>
      <c r="C33" s="7" t="s">
        <v>118</v>
      </c>
      <c r="D33" s="7" t="s">
        <v>189</v>
      </c>
      <c r="E33" s="7" t="s">
        <v>190</v>
      </c>
      <c r="F33" s="7"/>
    </row>
    <row r="34" spans="1:6" x14ac:dyDescent="0.3">
      <c r="A34" s="6">
        <v>30</v>
      </c>
      <c r="B34" s="8" t="s">
        <v>113</v>
      </c>
      <c r="C34" s="7" t="s">
        <v>114</v>
      </c>
      <c r="D34" s="7" t="s">
        <v>189</v>
      </c>
      <c r="E34" s="7" t="s">
        <v>190</v>
      </c>
      <c r="F34" s="7"/>
    </row>
    <row r="35" spans="1:6" x14ac:dyDescent="0.3">
      <c r="A35" s="6">
        <v>31</v>
      </c>
      <c r="B35" s="8" t="s">
        <v>191</v>
      </c>
      <c r="C35" s="7" t="s">
        <v>192</v>
      </c>
      <c r="D35" s="7" t="s">
        <v>193</v>
      </c>
      <c r="E35" s="7" t="s">
        <v>194</v>
      </c>
      <c r="F35" s="7"/>
    </row>
    <row r="36" spans="1:6" x14ac:dyDescent="0.3">
      <c r="A36" s="6">
        <v>32</v>
      </c>
      <c r="B36" s="8" t="s">
        <v>195</v>
      </c>
      <c r="C36" s="7" t="s">
        <v>196</v>
      </c>
      <c r="D36" s="7" t="s">
        <v>193</v>
      </c>
      <c r="E36" s="7" t="s">
        <v>194</v>
      </c>
      <c r="F36" s="7"/>
    </row>
    <row r="37" spans="1:6" x14ac:dyDescent="0.3">
      <c r="A37" s="6">
        <v>33</v>
      </c>
      <c r="B37" s="8" t="s">
        <v>197</v>
      </c>
      <c r="C37" s="7" t="s">
        <v>198</v>
      </c>
      <c r="D37" s="7" t="s">
        <v>193</v>
      </c>
      <c r="E37" s="7" t="s">
        <v>194</v>
      </c>
      <c r="F37" s="7"/>
    </row>
    <row r="38" spans="1:6" x14ac:dyDescent="0.3">
      <c r="A38" s="6">
        <v>34</v>
      </c>
      <c r="B38" s="8" t="s">
        <v>199</v>
      </c>
      <c r="C38" s="7" t="s">
        <v>200</v>
      </c>
      <c r="D38" s="7" t="s">
        <v>201</v>
      </c>
      <c r="E38" s="7" t="s">
        <v>202</v>
      </c>
      <c r="F38" s="7"/>
    </row>
    <row r="39" spans="1:6" x14ac:dyDescent="0.3">
      <c r="A39" s="6">
        <v>35</v>
      </c>
      <c r="B39" s="8" t="s">
        <v>203</v>
      </c>
      <c r="C39" s="7" t="s">
        <v>204</v>
      </c>
      <c r="D39" s="7" t="s">
        <v>201</v>
      </c>
      <c r="E39" s="7" t="s">
        <v>202</v>
      </c>
      <c r="F39" s="7"/>
    </row>
    <row r="40" spans="1:6" x14ac:dyDescent="0.3">
      <c r="A40" s="6">
        <v>36</v>
      </c>
      <c r="B40" s="8" t="s">
        <v>205</v>
      </c>
      <c r="C40" s="7" t="s">
        <v>206</v>
      </c>
      <c r="D40" s="7" t="s">
        <v>201</v>
      </c>
      <c r="E40" s="7" t="s">
        <v>202</v>
      </c>
      <c r="F40" s="7"/>
    </row>
    <row r="41" spans="1:6" x14ac:dyDescent="0.3">
      <c r="A41" s="6">
        <v>37</v>
      </c>
      <c r="B41" s="8" t="s">
        <v>207</v>
      </c>
      <c r="C41" s="7" t="s">
        <v>208</v>
      </c>
      <c r="D41" s="7" t="s">
        <v>201</v>
      </c>
      <c r="E41" s="7" t="s">
        <v>202</v>
      </c>
      <c r="F41" s="7"/>
    </row>
    <row r="42" spans="1:6" x14ac:dyDescent="0.3">
      <c r="A42" s="6">
        <v>38</v>
      </c>
      <c r="B42" s="8" t="s">
        <v>209</v>
      </c>
      <c r="C42" s="7" t="s">
        <v>210</v>
      </c>
      <c r="D42" s="7" t="s">
        <v>201</v>
      </c>
      <c r="E42" s="7" t="s">
        <v>202</v>
      </c>
      <c r="F42" s="7"/>
    </row>
    <row r="43" spans="1:6" x14ac:dyDescent="0.3">
      <c r="A43" s="6">
        <v>39</v>
      </c>
      <c r="B43" s="8" t="s">
        <v>211</v>
      </c>
      <c r="C43" s="7" t="s">
        <v>212</v>
      </c>
      <c r="D43" s="7" t="s">
        <v>201</v>
      </c>
      <c r="E43" s="7" t="s">
        <v>202</v>
      </c>
      <c r="F43" s="7"/>
    </row>
    <row r="44" spans="1:6" x14ac:dyDescent="0.3">
      <c r="A44" s="6">
        <v>40</v>
      </c>
      <c r="B44" s="8" t="s">
        <v>213</v>
      </c>
      <c r="C44" s="7" t="s">
        <v>214</v>
      </c>
      <c r="D44" s="7" t="s">
        <v>215</v>
      </c>
      <c r="E44" s="7" t="s">
        <v>216</v>
      </c>
      <c r="F44" s="7"/>
    </row>
    <row r="45" spans="1:6" x14ac:dyDescent="0.3">
      <c r="A45" s="6">
        <v>41</v>
      </c>
      <c r="B45" s="8" t="s">
        <v>217</v>
      </c>
      <c r="C45" s="7" t="s">
        <v>218</v>
      </c>
      <c r="D45" s="7" t="s">
        <v>215</v>
      </c>
      <c r="E45" s="7" t="s">
        <v>216</v>
      </c>
      <c r="F45" s="7"/>
    </row>
    <row r="46" spans="1:6" x14ac:dyDescent="0.3">
      <c r="A46" s="6">
        <v>42</v>
      </c>
      <c r="B46" s="8" t="s">
        <v>219</v>
      </c>
      <c r="C46" s="7" t="s">
        <v>220</v>
      </c>
      <c r="D46" s="7" t="s">
        <v>215</v>
      </c>
      <c r="E46" s="7" t="s">
        <v>216</v>
      </c>
      <c r="F46" s="7"/>
    </row>
    <row r="47" spans="1:6" x14ac:dyDescent="0.3">
      <c r="A47" s="6">
        <v>43</v>
      </c>
      <c r="B47" s="8" t="s">
        <v>221</v>
      </c>
      <c r="C47" s="7" t="s">
        <v>222</v>
      </c>
      <c r="D47" s="7" t="s">
        <v>223</v>
      </c>
      <c r="E47" s="7" t="s">
        <v>224</v>
      </c>
      <c r="F47" s="7"/>
    </row>
    <row r="48" spans="1:6" x14ac:dyDescent="0.3">
      <c r="A48" s="6">
        <v>44</v>
      </c>
      <c r="B48" s="8" t="s">
        <v>225</v>
      </c>
      <c r="C48" s="7" t="s">
        <v>226</v>
      </c>
      <c r="D48" s="7" t="s">
        <v>223</v>
      </c>
      <c r="E48" s="7" t="s">
        <v>224</v>
      </c>
      <c r="F48" s="7"/>
    </row>
    <row r="49" spans="1:6" x14ac:dyDescent="0.3">
      <c r="A49" s="6">
        <v>45</v>
      </c>
      <c r="B49" s="8" t="s">
        <v>227</v>
      </c>
      <c r="C49" s="7" t="s">
        <v>228</v>
      </c>
      <c r="D49" s="7" t="s">
        <v>223</v>
      </c>
      <c r="E49" s="7" t="s">
        <v>224</v>
      </c>
      <c r="F49" s="7"/>
    </row>
    <row r="50" spans="1:6" x14ac:dyDescent="0.3">
      <c r="A50" s="6">
        <v>46</v>
      </c>
      <c r="B50" s="8" t="s">
        <v>229</v>
      </c>
      <c r="C50" s="7" t="s">
        <v>230</v>
      </c>
      <c r="D50" s="7" t="s">
        <v>223</v>
      </c>
      <c r="E50" s="7" t="s">
        <v>224</v>
      </c>
      <c r="F50" s="7"/>
    </row>
    <row r="51" spans="1:6" x14ac:dyDescent="0.3">
      <c r="A51" s="6">
        <v>47</v>
      </c>
      <c r="B51" s="8" t="s">
        <v>231</v>
      </c>
      <c r="C51" s="7" t="s">
        <v>232</v>
      </c>
      <c r="D51" s="7" t="s">
        <v>233</v>
      </c>
      <c r="E51" s="7" t="s">
        <v>234</v>
      </c>
      <c r="F51" s="7"/>
    </row>
    <row r="52" spans="1:6" x14ac:dyDescent="0.3">
      <c r="A52" s="6">
        <v>48</v>
      </c>
      <c r="B52" s="8" t="s">
        <v>235</v>
      </c>
      <c r="C52" s="7" t="s">
        <v>236</v>
      </c>
      <c r="D52" s="7" t="s">
        <v>233</v>
      </c>
      <c r="E52" s="7" t="s">
        <v>234</v>
      </c>
      <c r="F52" s="7"/>
    </row>
    <row r="53" spans="1:6" x14ac:dyDescent="0.3">
      <c r="A53" s="6">
        <v>49</v>
      </c>
      <c r="B53" s="8" t="s">
        <v>237</v>
      </c>
      <c r="C53" s="7" t="s">
        <v>238</v>
      </c>
      <c r="D53" s="7" t="s">
        <v>233</v>
      </c>
      <c r="E53" s="7" t="s">
        <v>234</v>
      </c>
      <c r="F53" s="7"/>
    </row>
    <row r="54" spans="1:6" x14ac:dyDescent="0.3">
      <c r="A54" s="6">
        <v>50</v>
      </c>
      <c r="B54" s="8" t="s">
        <v>106</v>
      </c>
      <c r="C54" s="7" t="s">
        <v>239</v>
      </c>
      <c r="D54" s="7" t="s">
        <v>233</v>
      </c>
      <c r="E54" s="7" t="s">
        <v>234</v>
      </c>
      <c r="F54" s="7"/>
    </row>
    <row r="55" spans="1:6" x14ac:dyDescent="0.3">
      <c r="A55" s="6">
        <v>51</v>
      </c>
      <c r="B55" s="8" t="s">
        <v>109</v>
      </c>
      <c r="C55" s="7" t="s">
        <v>240</v>
      </c>
      <c r="D55" s="7" t="s">
        <v>233</v>
      </c>
      <c r="E55" s="7" t="s">
        <v>234</v>
      </c>
      <c r="F55" s="7"/>
    </row>
    <row r="56" spans="1:6" x14ac:dyDescent="0.3">
      <c r="A56" s="6">
        <v>52</v>
      </c>
      <c r="B56" s="8" t="s">
        <v>107</v>
      </c>
      <c r="C56" s="7" t="s">
        <v>108</v>
      </c>
      <c r="D56" s="7" t="s">
        <v>233</v>
      </c>
      <c r="E56" s="7" t="s">
        <v>234</v>
      </c>
      <c r="F56" s="7"/>
    </row>
    <row r="57" spans="1:6" x14ac:dyDescent="0.3">
      <c r="A57" s="6">
        <v>53</v>
      </c>
      <c r="B57" s="8" t="s">
        <v>241</v>
      </c>
      <c r="C57" s="7" t="s">
        <v>242</v>
      </c>
      <c r="D57" s="7" t="s">
        <v>243</v>
      </c>
      <c r="E57" s="7" t="s">
        <v>244</v>
      </c>
      <c r="F57" s="7"/>
    </row>
    <row r="58" spans="1:6" x14ac:dyDescent="0.3">
      <c r="A58" s="6">
        <v>54</v>
      </c>
      <c r="B58" s="8" t="s">
        <v>245</v>
      </c>
      <c r="C58" s="7" t="s">
        <v>246</v>
      </c>
      <c r="D58" s="7" t="s">
        <v>243</v>
      </c>
      <c r="E58" s="7" t="s">
        <v>244</v>
      </c>
      <c r="F58" s="7"/>
    </row>
    <row r="59" spans="1:6" x14ac:dyDescent="0.3">
      <c r="A59" s="6">
        <v>55</v>
      </c>
      <c r="B59" s="8" t="s">
        <v>247</v>
      </c>
      <c r="C59" s="7" t="s">
        <v>248</v>
      </c>
      <c r="D59" s="7" t="s">
        <v>243</v>
      </c>
      <c r="E59" s="7" t="s">
        <v>244</v>
      </c>
      <c r="F59" s="7"/>
    </row>
    <row r="60" spans="1:6" x14ac:dyDescent="0.3">
      <c r="A60" s="6">
        <v>56</v>
      </c>
      <c r="B60" s="8" t="s">
        <v>249</v>
      </c>
      <c r="C60" s="7" t="s">
        <v>250</v>
      </c>
      <c r="D60" s="7" t="s">
        <v>243</v>
      </c>
      <c r="E60" s="7" t="s">
        <v>244</v>
      </c>
      <c r="F60" s="7"/>
    </row>
    <row r="61" spans="1:6" x14ac:dyDescent="0.3">
      <c r="A61" s="6">
        <v>57</v>
      </c>
      <c r="B61" s="8" t="s">
        <v>251</v>
      </c>
      <c r="C61" s="7" t="s">
        <v>252</v>
      </c>
      <c r="D61" s="7" t="s">
        <v>253</v>
      </c>
      <c r="E61" s="7" t="s">
        <v>254</v>
      </c>
      <c r="F61" s="7"/>
    </row>
    <row r="62" spans="1:6" x14ac:dyDescent="0.3">
      <c r="A62" s="6">
        <v>58</v>
      </c>
      <c r="B62" s="8" t="s">
        <v>255</v>
      </c>
      <c r="C62" s="7" t="s">
        <v>256</v>
      </c>
      <c r="D62" s="7" t="s">
        <v>253</v>
      </c>
      <c r="E62" s="7" t="s">
        <v>254</v>
      </c>
      <c r="F62" s="7"/>
    </row>
    <row r="63" spans="1:6" x14ac:dyDescent="0.3">
      <c r="A63" s="6">
        <v>59</v>
      </c>
      <c r="B63" s="8" t="s">
        <v>257</v>
      </c>
      <c r="C63" s="7" t="s">
        <v>105</v>
      </c>
      <c r="D63" s="7" t="s">
        <v>253</v>
      </c>
      <c r="E63" s="7" t="s">
        <v>254</v>
      </c>
      <c r="F63" s="7"/>
    </row>
    <row r="64" spans="1:6" x14ac:dyDescent="0.3">
      <c r="A64" s="6">
        <v>60</v>
      </c>
      <c r="B64" s="8" t="s">
        <v>258</v>
      </c>
      <c r="C64" s="7" t="s">
        <v>259</v>
      </c>
      <c r="D64" s="7" t="s">
        <v>253</v>
      </c>
      <c r="E64" s="7" t="s">
        <v>254</v>
      </c>
      <c r="F64" s="7"/>
    </row>
    <row r="65" spans="1:6" x14ac:dyDescent="0.3">
      <c r="A65" s="6">
        <v>61</v>
      </c>
      <c r="B65" s="8" t="s">
        <v>260</v>
      </c>
      <c r="C65" s="7" t="s">
        <v>261</v>
      </c>
      <c r="D65" s="7" t="s">
        <v>253</v>
      </c>
      <c r="E65" s="7" t="s">
        <v>254</v>
      </c>
      <c r="F65" s="7"/>
    </row>
    <row r="66" spans="1:6" x14ac:dyDescent="0.3">
      <c r="A66" s="6">
        <v>62</v>
      </c>
      <c r="B66" s="8" t="s">
        <v>262</v>
      </c>
      <c r="C66" s="7" t="s">
        <v>263</v>
      </c>
      <c r="D66" s="7" t="s">
        <v>264</v>
      </c>
      <c r="E66" s="7" t="s">
        <v>265</v>
      </c>
      <c r="F66" s="7"/>
    </row>
    <row r="67" spans="1:6" x14ac:dyDescent="0.3">
      <c r="A67" s="6">
        <v>63</v>
      </c>
      <c r="B67" s="8" t="s">
        <v>266</v>
      </c>
      <c r="C67" s="7" t="s">
        <v>267</v>
      </c>
      <c r="D67" s="7" t="s">
        <v>264</v>
      </c>
      <c r="E67" s="7" t="s">
        <v>265</v>
      </c>
      <c r="F67" s="7"/>
    </row>
    <row r="68" spans="1:6" x14ac:dyDescent="0.3">
      <c r="A68" s="6">
        <v>64</v>
      </c>
      <c r="B68" s="8" t="s">
        <v>268</v>
      </c>
      <c r="C68" s="7" t="s">
        <v>269</v>
      </c>
      <c r="D68" s="7" t="s">
        <v>264</v>
      </c>
      <c r="E68" s="7" t="s">
        <v>265</v>
      </c>
      <c r="F68" s="7"/>
    </row>
    <row r="69" spans="1:6" x14ac:dyDescent="0.3">
      <c r="A69" s="6">
        <v>65</v>
      </c>
      <c r="B69" s="8" t="s">
        <v>270</v>
      </c>
      <c r="C69" s="7" t="s">
        <v>271</v>
      </c>
      <c r="D69" s="7" t="s">
        <v>272</v>
      </c>
      <c r="E69" s="7" t="s">
        <v>273</v>
      </c>
      <c r="F69" s="7"/>
    </row>
    <row r="70" spans="1:6" x14ac:dyDescent="0.3">
      <c r="A70" s="6">
        <v>66</v>
      </c>
      <c r="B70" s="8" t="s">
        <v>274</v>
      </c>
      <c r="C70" s="7" t="s">
        <v>275</v>
      </c>
      <c r="D70" s="7" t="s">
        <v>272</v>
      </c>
      <c r="E70" s="7" t="s">
        <v>273</v>
      </c>
      <c r="F70" s="7"/>
    </row>
    <row r="71" spans="1:6" x14ac:dyDescent="0.3">
      <c r="A71" s="6">
        <v>67</v>
      </c>
      <c r="B71" s="8" t="s">
        <v>276</v>
      </c>
      <c r="C71" s="7" t="s">
        <v>277</v>
      </c>
      <c r="D71" s="7" t="s">
        <v>272</v>
      </c>
      <c r="E71" s="7" t="s">
        <v>273</v>
      </c>
      <c r="F71" s="7"/>
    </row>
    <row r="72" spans="1:6" x14ac:dyDescent="0.3">
      <c r="A72" s="6">
        <v>68</v>
      </c>
      <c r="B72" s="8" t="s">
        <v>278</v>
      </c>
      <c r="C72" s="7" t="s">
        <v>279</v>
      </c>
      <c r="D72" s="7" t="s">
        <v>272</v>
      </c>
      <c r="E72" s="7" t="s">
        <v>273</v>
      </c>
      <c r="F72" s="7"/>
    </row>
    <row r="73" spans="1:6" x14ac:dyDescent="0.3">
      <c r="A73" s="6">
        <v>69</v>
      </c>
      <c r="B73" s="8" t="s">
        <v>280</v>
      </c>
      <c r="C73" s="7" t="s">
        <v>281</v>
      </c>
      <c r="D73" s="7" t="s">
        <v>272</v>
      </c>
      <c r="E73" s="7" t="s">
        <v>273</v>
      </c>
      <c r="F73" s="7"/>
    </row>
    <row r="74" spans="1:6" x14ac:dyDescent="0.3">
      <c r="A74" s="6">
        <v>70</v>
      </c>
      <c r="B74" s="8" t="s">
        <v>282</v>
      </c>
      <c r="C74" s="7" t="s">
        <v>283</v>
      </c>
      <c r="D74" s="7" t="s">
        <v>272</v>
      </c>
      <c r="E74" s="7" t="s">
        <v>273</v>
      </c>
      <c r="F74" s="7"/>
    </row>
    <row r="75" spans="1:6" x14ac:dyDescent="0.3">
      <c r="A75" s="6">
        <v>71</v>
      </c>
      <c r="B75" s="8" t="s">
        <v>284</v>
      </c>
      <c r="C75" s="7" t="s">
        <v>285</v>
      </c>
      <c r="D75" s="7" t="s">
        <v>286</v>
      </c>
      <c r="E75" s="7" t="s">
        <v>287</v>
      </c>
      <c r="F75" s="7"/>
    </row>
    <row r="76" spans="1:6" x14ac:dyDescent="0.3">
      <c r="A76" s="6">
        <v>72</v>
      </c>
      <c r="B76" s="8" t="s">
        <v>288</v>
      </c>
      <c r="C76" s="7" t="s">
        <v>289</v>
      </c>
      <c r="D76" s="7" t="s">
        <v>290</v>
      </c>
      <c r="E76" s="7" t="s">
        <v>291</v>
      </c>
      <c r="F76" s="7"/>
    </row>
    <row r="77" spans="1:6" x14ac:dyDescent="0.3">
      <c r="A77" s="6">
        <v>73</v>
      </c>
      <c r="B77" s="8" t="s">
        <v>292</v>
      </c>
      <c r="C77" s="7" t="s">
        <v>293</v>
      </c>
      <c r="D77" s="7" t="s">
        <v>290</v>
      </c>
      <c r="E77" s="7" t="s">
        <v>291</v>
      </c>
      <c r="F77" s="7"/>
    </row>
    <row r="78" spans="1:6" x14ac:dyDescent="0.3">
      <c r="A78" s="6">
        <v>74</v>
      </c>
      <c r="B78" s="8" t="s">
        <v>294</v>
      </c>
      <c r="C78" s="7" t="s">
        <v>295</v>
      </c>
      <c r="D78" s="7" t="s">
        <v>290</v>
      </c>
      <c r="E78" s="7" t="s">
        <v>291</v>
      </c>
      <c r="F78" s="7"/>
    </row>
    <row r="79" spans="1:6" x14ac:dyDescent="0.3">
      <c r="A79" s="6">
        <v>75</v>
      </c>
      <c r="B79" s="8" t="s">
        <v>296</v>
      </c>
      <c r="C79" s="7" t="s">
        <v>297</v>
      </c>
      <c r="D79" s="7" t="s">
        <v>298</v>
      </c>
      <c r="E79" s="7" t="s">
        <v>299</v>
      </c>
      <c r="F79" s="7"/>
    </row>
    <row r="80" spans="1:6" x14ac:dyDescent="0.3">
      <c r="A80" s="6">
        <v>76</v>
      </c>
      <c r="B80" s="8" t="s">
        <v>300</v>
      </c>
      <c r="C80" s="7" t="s">
        <v>301</v>
      </c>
      <c r="D80" s="7" t="s">
        <v>302</v>
      </c>
      <c r="E80" s="7" t="s">
        <v>303</v>
      </c>
      <c r="F80" s="7"/>
    </row>
    <row r="81" spans="1:6" x14ac:dyDescent="0.3">
      <c r="A81" s="6">
        <v>77</v>
      </c>
      <c r="B81" s="8" t="s">
        <v>304</v>
      </c>
      <c r="C81" s="7" t="s">
        <v>305</v>
      </c>
      <c r="D81" s="7" t="s">
        <v>302</v>
      </c>
      <c r="E81" s="7" t="s">
        <v>303</v>
      </c>
      <c r="F81" s="7"/>
    </row>
    <row r="82" spans="1:6" x14ac:dyDescent="0.3">
      <c r="A82" s="6">
        <v>78</v>
      </c>
      <c r="B82" s="8" t="s">
        <v>306</v>
      </c>
      <c r="C82" s="7" t="s">
        <v>307</v>
      </c>
      <c r="D82" s="7" t="s">
        <v>302</v>
      </c>
      <c r="E82" s="7" t="s">
        <v>303</v>
      </c>
      <c r="F82" s="7"/>
    </row>
    <row r="83" spans="1:6" x14ac:dyDescent="0.3">
      <c r="A83" s="6">
        <v>79</v>
      </c>
      <c r="B83" s="8" t="s">
        <v>308</v>
      </c>
      <c r="C83" s="7" t="s">
        <v>309</v>
      </c>
      <c r="D83" s="7" t="s">
        <v>310</v>
      </c>
      <c r="E83" s="7" t="s">
        <v>311</v>
      </c>
      <c r="F83" s="7"/>
    </row>
    <row r="84" spans="1:6" x14ac:dyDescent="0.3">
      <c r="A84" s="6">
        <v>80</v>
      </c>
      <c r="B84" s="8" t="s">
        <v>312</v>
      </c>
      <c r="C84" s="7" t="s">
        <v>313</v>
      </c>
      <c r="D84" s="7" t="s">
        <v>310</v>
      </c>
      <c r="E84" s="7" t="s">
        <v>311</v>
      </c>
      <c r="F84" s="7"/>
    </row>
    <row r="85" spans="1:6" x14ac:dyDescent="0.3">
      <c r="A85" s="6">
        <v>81</v>
      </c>
      <c r="B85" s="8" t="s">
        <v>314</v>
      </c>
      <c r="C85" s="7" t="s">
        <v>315</v>
      </c>
      <c r="D85" s="7" t="s">
        <v>310</v>
      </c>
      <c r="E85" s="7" t="s">
        <v>311</v>
      </c>
      <c r="F85" s="7"/>
    </row>
    <row r="86" spans="1:6" x14ac:dyDescent="0.3">
      <c r="A86" s="6">
        <v>82</v>
      </c>
      <c r="B86" s="8" t="s">
        <v>316</v>
      </c>
      <c r="C86" s="7" t="s">
        <v>317</v>
      </c>
      <c r="D86" s="7" t="s">
        <v>310</v>
      </c>
      <c r="E86" s="7" t="s">
        <v>311</v>
      </c>
      <c r="F86" s="7"/>
    </row>
    <row r="87" spans="1:6" x14ac:dyDescent="0.3">
      <c r="A87" s="6">
        <v>83</v>
      </c>
      <c r="B87" s="8" t="s">
        <v>318</v>
      </c>
      <c r="C87" s="7" t="s">
        <v>319</v>
      </c>
      <c r="D87" s="7" t="s">
        <v>310</v>
      </c>
      <c r="E87" s="7" t="s">
        <v>311</v>
      </c>
      <c r="F87" s="7"/>
    </row>
    <row r="88" spans="1:6" x14ac:dyDescent="0.3">
      <c r="A88" s="6">
        <v>84</v>
      </c>
      <c r="B88" s="8" t="s">
        <v>320</v>
      </c>
      <c r="C88" s="7" t="s">
        <v>321</v>
      </c>
      <c r="D88" s="7" t="s">
        <v>310</v>
      </c>
      <c r="E88" s="7" t="s">
        <v>311</v>
      </c>
      <c r="F88" s="7"/>
    </row>
    <row r="89" spans="1:6" x14ac:dyDescent="0.3">
      <c r="A89" s="6">
        <v>85</v>
      </c>
      <c r="B89" s="8" t="s">
        <v>322</v>
      </c>
      <c r="C89" s="7" t="s">
        <v>323</v>
      </c>
      <c r="D89" s="7" t="s">
        <v>310</v>
      </c>
      <c r="E89" s="7" t="s">
        <v>311</v>
      </c>
      <c r="F89" s="7"/>
    </row>
    <row r="90" spans="1:6" x14ac:dyDescent="0.3">
      <c r="A90" s="6">
        <v>86</v>
      </c>
      <c r="B90" s="8" t="s">
        <v>324</v>
      </c>
      <c r="C90" s="7" t="s">
        <v>325</v>
      </c>
      <c r="D90" s="7" t="s">
        <v>326</v>
      </c>
      <c r="E90" s="7" t="s">
        <v>327</v>
      </c>
      <c r="F90" s="7"/>
    </row>
    <row r="91" spans="1:6" x14ac:dyDescent="0.3">
      <c r="A91" s="6">
        <v>87</v>
      </c>
      <c r="B91" s="8" t="s">
        <v>328</v>
      </c>
      <c r="C91" s="7" t="s">
        <v>329</v>
      </c>
      <c r="D91" s="7" t="s">
        <v>330</v>
      </c>
      <c r="E91" s="7" t="s">
        <v>331</v>
      </c>
      <c r="F91" s="7"/>
    </row>
    <row r="92" spans="1:6" x14ac:dyDescent="0.3">
      <c r="A92" s="6">
        <v>88</v>
      </c>
      <c r="B92" s="8" t="s">
        <v>332</v>
      </c>
      <c r="C92" s="7" t="s">
        <v>333</v>
      </c>
      <c r="D92" s="7" t="s">
        <v>330</v>
      </c>
      <c r="E92" s="7" t="s">
        <v>331</v>
      </c>
      <c r="F92" s="7"/>
    </row>
    <row r="93" spans="1:6" x14ac:dyDescent="0.3">
      <c r="A93" s="6">
        <v>89</v>
      </c>
      <c r="B93" s="8" t="s">
        <v>334</v>
      </c>
      <c r="C93" s="7" t="s">
        <v>335</v>
      </c>
      <c r="D93" s="7" t="s">
        <v>330</v>
      </c>
      <c r="E93" s="7" t="s">
        <v>331</v>
      </c>
      <c r="F93" s="7"/>
    </row>
    <row r="94" spans="1:6" x14ac:dyDescent="0.3">
      <c r="A94" s="6">
        <v>90</v>
      </c>
      <c r="B94" s="8" t="s">
        <v>336</v>
      </c>
      <c r="C94" s="7" t="s">
        <v>337</v>
      </c>
      <c r="D94" s="7" t="s">
        <v>338</v>
      </c>
      <c r="E94" s="7" t="s">
        <v>339</v>
      </c>
      <c r="F94" s="7"/>
    </row>
    <row r="95" spans="1:6" x14ac:dyDescent="0.3">
      <c r="A95" s="6">
        <v>91</v>
      </c>
      <c r="B95" s="8" t="s">
        <v>340</v>
      </c>
      <c r="C95" s="7" t="s">
        <v>341</v>
      </c>
      <c r="D95" s="7" t="s">
        <v>338</v>
      </c>
      <c r="E95" s="7" t="s">
        <v>339</v>
      </c>
      <c r="F95" s="7"/>
    </row>
    <row r="96" spans="1:6" x14ac:dyDescent="0.3">
      <c r="A96" s="6">
        <v>92</v>
      </c>
      <c r="B96" s="8" t="s">
        <v>342</v>
      </c>
      <c r="C96" s="7" t="s">
        <v>110</v>
      </c>
      <c r="D96" s="7" t="s">
        <v>343</v>
      </c>
      <c r="E96" s="7" t="s">
        <v>344</v>
      </c>
      <c r="F96" s="7"/>
    </row>
    <row r="97" spans="1:6" x14ac:dyDescent="0.3">
      <c r="A97" s="6">
        <v>93</v>
      </c>
      <c r="B97" s="8" t="s">
        <v>345</v>
      </c>
      <c r="C97" s="7" t="s">
        <v>112</v>
      </c>
      <c r="D97" s="7" t="s">
        <v>346</v>
      </c>
      <c r="E97" s="7" t="s">
        <v>347</v>
      </c>
      <c r="F97" s="7"/>
    </row>
    <row r="98" spans="1:6" x14ac:dyDescent="0.3">
      <c r="A98" s="6">
        <v>94</v>
      </c>
      <c r="B98" s="8">
        <v>200113501</v>
      </c>
      <c r="C98" s="7" t="s">
        <v>111</v>
      </c>
      <c r="D98" s="7" t="s">
        <v>348</v>
      </c>
      <c r="E98" s="7" t="s">
        <v>349</v>
      </c>
      <c r="F98" s="7"/>
    </row>
    <row r="101" spans="1:6" x14ac:dyDescent="0.3">
      <c r="E101" s="192" t="s">
        <v>350</v>
      </c>
      <c r="F101" s="192"/>
    </row>
  </sheetData>
  <mergeCells count="3">
    <mergeCell ref="A1:F1"/>
    <mergeCell ref="A2:F2"/>
    <mergeCell ref="E101:F101"/>
  </mergeCells>
  <pageMargins left="0.7" right="0.7" top="0.75" bottom="0.75" header="0.3" footer="0.3"/>
  <ignoredErrors>
    <ignoredError sqref="B5:E97 C98:E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62AC3939AF141B8AC840F73996167" ma:contentTypeVersion="9" ma:contentTypeDescription="Create a new document." ma:contentTypeScope="" ma:versionID="8a8bd6446fcea43f05c9ee8ce8c3bd17">
  <xsd:schema xmlns:xsd="http://www.w3.org/2001/XMLSchema" xmlns:xs="http://www.w3.org/2001/XMLSchema" xmlns:p="http://schemas.microsoft.com/office/2006/metadata/properties" xmlns:ns2="735f8877-9738-4e20-a9d2-2296dfa96b3c" xmlns:ns3="6535b558-eb29-4c89-8e0d-c5969a6e6332" targetNamespace="http://schemas.microsoft.com/office/2006/metadata/properties" ma:root="true" ma:fieldsID="2b3cfbd313d85e22ba2c3dc7aa10fafd" ns2:_="" ns3:_="">
    <xsd:import namespace="735f8877-9738-4e20-a9d2-2296dfa96b3c"/>
    <xsd:import namespace="6535b558-eb29-4c89-8e0d-c5969a6e6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f8877-9738-4e20-a9d2-2296dfa96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5b558-eb29-4c89-8e0d-c5969a6e6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CD4AC2-3EC7-423F-B611-CFABCE8C5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f8877-9738-4e20-a9d2-2296dfa96b3c"/>
    <ds:schemaRef ds:uri="6535b558-eb29-4c89-8e0d-c5969a6e63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6137A7-60A4-4F44-BD7D-271FDABC82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662E57-3578-442D-BBB9-F9F72E3B5EFD}">
  <ds:schemaRefs>
    <ds:schemaRef ds:uri="6535b558-eb29-4c89-8e0d-c5969a6e6332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35f8877-9738-4e20-a9d2-2296dfa96b3c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Ke hoach giảng dạy CNTT</vt:lpstr>
      <vt:lpstr>MaBoMon</vt:lpstr>
      <vt:lpstr>'Ke hoach giảng dạy CNTT'!Print_Area</vt:lpstr>
      <vt:lpstr>'Ke hoach giảng dạy CNTT'!Print_Titles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</dc:creator>
  <cp:keywords/>
  <dc:description/>
  <cp:lastModifiedBy>Hòa Đào</cp:lastModifiedBy>
  <cp:revision/>
  <cp:lastPrinted>2025-08-29T07:22:29Z</cp:lastPrinted>
  <dcterms:created xsi:type="dcterms:W3CDTF">2021-06-25T14:59:39Z</dcterms:created>
  <dcterms:modified xsi:type="dcterms:W3CDTF">2026-09-16T06:58:09Z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0x010100C1462AC3939AF141B8AC840F73996167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2026-09-15T07:31:04Z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4037b062-1db2-4245-96b1-84b6ba8bf3e2</vt:lpwstr>
  </property>
  <property fmtid="{D5CDD505-2E9C-101B-9397-08002B2CF9AE}" pid="8" name="MSIP_Label_defa4170-0d19-0005-0004-bc88714345d2_ActionId">
    <vt:lpwstr>6b78305c-8c05-4885-ad14-312132d4865a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